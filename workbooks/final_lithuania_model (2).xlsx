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s" sheetId="1" r:id="rId4"/>
    <sheet state="visible" name="Scenario_Drivers" sheetId="2" r:id="rId5"/>
    <sheet state="visible" name="Model" sheetId="3" r:id="rId6"/>
    <sheet state="visible" name="Summary" sheetId="4" r:id="rId7"/>
    <sheet state="visible" name="Notes" sheetId="5" r:id="rId8"/>
  </sheets>
  <definedNames/>
  <calcPr/>
  <extLst>
    <ext uri="GoogleSheetsCustomDataVersion2">
      <go:sheetsCustomData xmlns:go="http://customooxmlschemas.google.com/" r:id="rId9" roundtripDataChecksum="ylsjSki2ybBQR+TnJYgbZor1mGtNVsheUZFtmNXRNM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5">
      <text>
        <t xml:space="preserve">======
ID#AAAB3nEBGes
Ethan Yip    (2026-03-22 18:04:05)
European Commission / Eurostat-style baseline anchor for the old-age dependency ratio in 2050.
Source: https://economy-finance.ec.europa.eu/document/download/b8767642-877c-4605-ad16-8b4b174e1f05_en?filename=2024-ageing-report-country-fiche-Lithuania.pdf</t>
      </text>
    </comment>
    <comment authorId="0" ref="B15">
      <text>
        <t xml:space="preserve">======
ID#AAAB2ZSQoKs
OpenAI    (2026-03-22 03:08:02)
European Commission, 2024 Ageing Report country fiche for Lithuania: population baseline around 2.329 million in 2050.
Source: https://economy-finance.ec.europa.eu/document/download/b8767642-877c-4605-ad16-8b4b174e1f05_en?filename=2024-ageing-report-country-fiche-Lithuania.pdf</t>
      </text>
    </comment>
  </commentList>
  <extLst>
    <ext uri="GoogleSheetsCustomDataVersion2">
      <go:sheetsCustomData xmlns:go="http://customooxmlschemas.google.com/" r:id="rId1" roundtripDataSignature="AMtx7mgUGpMP1dYQLhGbuMiAF2HlHSSQ3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8">
      <text>
        <t xml:space="preserve">======
ID#AAAB3nEBGew
Ethan Yip    (2026-03-22 18:08:23)
?</t>
      </text>
    </comment>
  </commentList>
  <extLst>
    <ext uri="GoogleSheetsCustomDataVersion2">
      <go:sheetsCustomData xmlns:go="http://customooxmlschemas.google.com/" r:id="rId1" roundtripDataSignature="AMtx7miNht1qLj2w/akPkZzQvVP5/wEPIA=="/>
    </ext>
  </extLst>
</comments>
</file>

<file path=xl/sharedStrings.xml><?xml version="1.0" encoding="utf-8"?>
<sst xmlns="http://schemas.openxmlformats.org/spreadsheetml/2006/main" count="130" uniqueCount="91">
  <si>
    <t>Final Model for Euro Challenge Viewing</t>
  </si>
  <si>
    <t>Lithuania Retention Pipeline - Final Eurostat-Baseline Model</t>
  </si>
  <si>
    <t>This workbook matches the final agreed model logic: EC/Eurostat-style baseline, policy measured as improvement relative to baseline, and family support as a tertiary module.</t>
  </si>
  <si>
    <t>Core demographic inputs</t>
  </si>
  <si>
    <t>Start year</t>
  </si>
  <si>
    <t>End year</t>
  </si>
  <si>
    <t>Starting population</t>
  </si>
  <si>
    <t>Starting working-age population</t>
  </si>
  <si>
    <t>Starting old-age population</t>
  </si>
  <si>
    <t>Baseline annual total-population decline</t>
  </si>
  <si>
    <t>Baseline annual working-age decline</t>
  </si>
  <si>
    <t>Annual old-age population growth</t>
  </si>
  <si>
    <t>Official baseline anchors</t>
  </si>
  <si>
    <t>2050 population baseline anchor</t>
  </si>
  <si>
    <t>2050 old-age dependency baseline anchor</t>
  </si>
  <si>
    <t>Policy engine inputs (annual, before scenario scaling)</t>
  </si>
  <si>
    <t>Immigrant entrants ages 18–34 helped by policy</t>
  </si>
  <si>
    <t>Returning Lithuanians ages 18–34 helped by policy</t>
  </si>
  <si>
    <t>Priority-sector graduates retained by policy</t>
  </si>
  <si>
    <t>Retention rate on policy entrants</t>
  </si>
  <si>
    <t>Annual exits from retained pool</t>
  </si>
  <si>
    <t>Additional parents kept in labor force</t>
  </si>
  <si>
    <t>Base net retained contributors per year</t>
  </si>
  <si>
    <t>Fiscal inputs</t>
  </si>
  <si>
    <t>Average annual wage of retained cohort (€)</t>
  </si>
  <si>
    <t>Effective tax + social contribution rate</t>
  </si>
  <si>
    <t>Annual public-service cost per added resident (€)</t>
  </si>
  <si>
    <t>Annual national policy cost (€)</t>
  </si>
  <si>
    <t>Net annual fiscal benefit per retained contributor (€)</t>
  </si>
  <si>
    <t>Approx. break-even retained contributors / year</t>
  </si>
  <si>
    <t>Scenario tuning parameters</t>
  </si>
  <si>
    <t>Scenario</t>
  </si>
  <si>
    <t>Inflow multiplier</t>
  </si>
  <si>
    <t>Retention multiplier</t>
  </si>
  <si>
    <t>Exit multiplier</t>
  </si>
  <si>
    <t>Parent LF multiplier</t>
  </si>
  <si>
    <t>Policy cost multiplier</t>
  </si>
  <si>
    <t>Pop decline adder</t>
  </si>
  <si>
    <t>Work decline adder</t>
  </si>
  <si>
    <t>Old-age growth adder</t>
  </si>
  <si>
    <t>Baseline</t>
  </si>
  <si>
    <t>Moderate</t>
  </si>
  <si>
    <t>Strong</t>
  </si>
  <si>
    <t>Stress</t>
  </si>
  <si>
    <t>Interpretation</t>
  </si>
  <si>
    <t>Baseline = official no-policy path. Moderate = reasonable implementation. Strong = stronger retention and lower leakage. Stress = weaker implementation plus slightly harsher background conditions.</t>
  </si>
  <si>
    <t>Scenario projections, 2025–2050</t>
  </si>
  <si>
    <t>Year</t>
  </si>
  <si>
    <t>Base_Pop</t>
  </si>
  <si>
    <t>Base_Work</t>
  </si>
  <si>
    <t>Base_Old</t>
  </si>
  <si>
    <t>Base_Dep</t>
  </si>
  <si>
    <t>Base_NetRet</t>
  </si>
  <si>
    <t>Base_Fiscal</t>
  </si>
  <si>
    <t>Mod_Pop</t>
  </si>
  <si>
    <t>Mod_Work</t>
  </si>
  <si>
    <t>Mod_Old</t>
  </si>
  <si>
    <t>Mod_Dep</t>
  </si>
  <si>
    <t>Mod_NetRet</t>
  </si>
  <si>
    <t>Mod_Fiscal</t>
  </si>
  <si>
    <t>Strong_Pop</t>
  </si>
  <si>
    <t>Strong_Work</t>
  </si>
  <si>
    <t>Strong_Old</t>
  </si>
  <si>
    <t>Strong_Dep</t>
  </si>
  <si>
    <t>Strong_NetRet</t>
  </si>
  <si>
    <t>Strong_Fiscal</t>
  </si>
  <si>
    <t>Stress_Pop</t>
  </si>
  <si>
    <t>Stress_Work</t>
  </si>
  <si>
    <t>Stress_Old</t>
  </si>
  <si>
    <t>Stress_Dep</t>
  </si>
  <si>
    <t>Stress_NetRet</t>
  </si>
  <si>
    <t>Stress_Fiscal</t>
  </si>
  <si>
    <t>0</t>
  </si>
  <si>
    <t>Dashboard summary</t>
  </si>
  <si>
    <t>Metric</t>
  </si>
  <si>
    <t>Population, 2050</t>
  </si>
  <si>
    <t>Working-age population, 2050</t>
  </si>
  <si>
    <t>Old-age population, 2050</t>
  </si>
  <si>
    <t>Old-age dependency ratio, 2050</t>
  </si>
  <si>
    <t>Net retained contributors / year</t>
  </si>
  <si>
    <t>Model logic</t>
  </si>
  <si>
    <t>Baseline is calibrated to the EC / Eurostat-style Lithuania path. Policy scenarios change only the variables the policy is meant to affect: inflows, retention, exits, and a small parent labor-force effect.</t>
  </si>
  <si>
    <t>Ratio</t>
  </si>
  <si>
    <t>How the model works</t>
  </si>
  <si>
    <t>1. Baseline path: the workbook anchors the no-policy baseline to the European Commission / Eurostat-style Lithuania 2050 path (population ~2.329m; old-age dependency ratio ~57.9).</t>
  </si>
  <si>
    <t>2. Policy engine: Net retained contributors = (immigrants + returnees + retained graduates) × retention rate − exits.</t>
  </si>
  <si>
    <t>3. Population update: next year's population = this year's population × (1 − baseline decline) + net retained contributors.</t>
  </si>
  <si>
    <t>4. Working-age update: next year's working-age population = this year's working-age population × (1 − baseline decline) + net retained contributors + a small parent labor-force effect.</t>
  </si>
  <si>
    <t>5. Dependency ratio = old-age population ÷ working-age population.</t>
  </si>
  <si>
    <t>6. Scenarios: Moderate, Strong, and Stress vary only policy-relevant parameters such as inflows, retention, exits, and background conditions.</t>
  </si>
  <si>
    <t>7. Interpretation: this is a benchmarked scenario model, not a forecast.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</si>
</sst>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€#,##0"/>
  </numFmts>
  <fonts count="9">
    <font>
      <sz val="11.0"/>
      <color theme="1"/>
      <name val="Calibri"/>
      <scheme val="minor"/>
    </font>
    <font>
      <b/>
      <sz val="19.0"/>
      <color rgb="FFFFFFFF"/>
      <name val="Calibri"/>
      <scheme val="minor"/>
    </font>
    <font>
      <b/>
      <sz val="14.0"/>
      <color theme="1"/>
      <name val="Calibri"/>
      <scheme val="minor"/>
    </font>
    <font>
      <sz val="11.0"/>
      <color theme="1"/>
      <name val="Calibri"/>
    </font>
    <font>
      <b/>
      <color rgb="FFFFFFFF"/>
      <name val="Calibri"/>
      <scheme val="minor"/>
    </font>
    <font/>
    <font>
      <color rgb="FF0000FF"/>
      <name val="Calibri"/>
      <scheme val="minor"/>
    </font>
    <font>
      <color rgb="FF000000"/>
      <name val="Calibri"/>
      <scheme val="minor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E2F0D9"/>
        <bgColor rgb="FFE2F0D9"/>
      </patternFill>
    </fill>
  </fills>
  <borders count="5">
    <border/>
    <border>
      <left/>
      <top/>
      <bottom/>
    </border>
    <border>
      <right/>
      <top/>
      <bottom/>
    </border>
    <border>
      <left/>
      <right/>
      <top/>
      <bottom/>
    </border>
    <border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0" fontId="2" numFmtId="0" xfId="0" applyFont="1"/>
    <xf borderId="0" fillId="0" fontId="3" numFmtId="0" xfId="0" applyAlignment="1" applyFont="1">
      <alignment shrinkToFit="0" vertical="top" wrapText="1"/>
    </xf>
    <xf borderId="1" fillId="2" fontId="4" numFmtId="0" xfId="0" applyBorder="1" applyFont="1"/>
    <xf borderId="2" fillId="0" fontId="5" numFmtId="0" xfId="0" applyBorder="1" applyFont="1"/>
    <xf borderId="0" fillId="0" fontId="6" numFmtId="0" xfId="0" applyAlignment="1" applyFont="1">
      <alignment horizontal="center" vertical="center"/>
    </xf>
    <xf borderId="0" fillId="0" fontId="6" numFmtId="3" xfId="0" applyAlignment="1" applyFont="1" applyNumberFormat="1">
      <alignment horizontal="center" vertical="center"/>
    </xf>
    <xf borderId="0" fillId="0" fontId="6" numFmtId="164" xfId="0" applyAlignment="1" applyFont="1" applyNumberFormat="1">
      <alignment horizontal="center" vertical="center"/>
    </xf>
    <xf borderId="0" fillId="0" fontId="3" numFmtId="3" xfId="0" applyFont="1" applyNumberFormat="1"/>
    <xf borderId="3" fillId="3" fontId="7" numFmtId="3" xfId="0" applyAlignment="1" applyBorder="1" applyFill="1" applyFont="1" applyNumberFormat="1">
      <alignment horizontal="center" vertical="center"/>
    </xf>
    <xf borderId="0" fillId="0" fontId="3" numFmtId="165" xfId="0" applyFont="1" applyNumberFormat="1"/>
    <xf borderId="3" fillId="3" fontId="7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0" fillId="0" fontId="8" numFmtId="0" xfId="0" applyFont="1"/>
    <xf borderId="0" fillId="0" fontId="6" numFmtId="2" xfId="0" applyFont="1" applyNumberFormat="1"/>
    <xf borderId="4" fillId="0" fontId="5" numFmtId="0" xfId="0" applyBorder="1" applyFont="1"/>
    <xf borderId="0" fillId="0" fontId="3" numFmtId="164" xfId="0" applyFont="1" applyNumberFormat="1"/>
    <xf borderId="3" fillId="2" fontId="4" numFmtId="0" xfId="0" applyBorder="1" applyFont="1"/>
    <xf borderId="0" fillId="0" fontId="8" numFmtId="3" xfId="0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Lithuania population paths, 2025–2050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Summary!$H$13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Summary!$G$14:$G$39</c:f>
            </c:strRef>
          </c:cat>
          <c:val>
            <c:numRef>
              <c:f>Summary!$H$14:$H$39</c:f>
              <c:numCache/>
            </c:numRef>
          </c:val>
          <c:smooth val="0"/>
        </c:ser>
        <c:ser>
          <c:idx val="1"/>
          <c:order val="1"/>
          <c:tx>
            <c:strRef>
              <c:f>Summary!$I$13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Summary!$G$14:$G$39</c:f>
            </c:strRef>
          </c:cat>
          <c:val>
            <c:numRef>
              <c:f>Summary!$I$14:$I$39</c:f>
              <c:numCache/>
            </c:numRef>
          </c:val>
          <c:smooth val="0"/>
        </c:ser>
        <c:ser>
          <c:idx val="2"/>
          <c:order val="2"/>
          <c:tx>
            <c:strRef>
              <c:f>Summary!$J$13</c:f>
            </c:strRef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Summary!$G$14:$G$39</c:f>
            </c:strRef>
          </c:cat>
          <c:val>
            <c:numRef>
              <c:f>Summary!$J$14:$J$39</c:f>
              <c:numCache/>
            </c:numRef>
          </c:val>
          <c:smooth val="0"/>
        </c:ser>
        <c:ser>
          <c:idx val="3"/>
          <c:order val="3"/>
          <c:tx>
            <c:strRef>
              <c:f>Summary!$K$13</c:f>
            </c:strRef>
          </c:tx>
          <c:spPr>
            <a:ln cmpd="sng">
              <a:solidFill>
                <a:srgbClr val="8064A2"/>
              </a:solidFill>
            </a:ln>
          </c:spPr>
          <c:marker>
            <c:symbol val="none"/>
          </c:marker>
          <c:cat>
            <c:strRef>
              <c:f>Summary!$G$14:$G$39</c:f>
            </c:strRef>
          </c:cat>
          <c:val>
            <c:numRef>
              <c:f>Summary!$K$14:$K$39</c:f>
              <c:numCache/>
            </c:numRef>
          </c:val>
          <c:smooth val="0"/>
        </c:ser>
        <c:axId val="1644902485"/>
        <c:axId val="142293041"/>
      </c:lineChart>
      <c:catAx>
        <c:axId val="16449024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293041"/>
      </c:catAx>
      <c:valAx>
        <c:axId val="1422930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49024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2050 old-age dependency ratio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Summary!$H$43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Summary!$G$44:$G$47</c:f>
            </c:strRef>
          </c:cat>
          <c:val>
            <c:numRef>
              <c:f>Summary!$H$44:$H$47</c:f>
              <c:numCache/>
            </c:numRef>
          </c:val>
        </c:ser>
        <c:axId val="1933100288"/>
        <c:axId val="459150114"/>
      </c:barChart>
      <c:catAx>
        <c:axId val="1933100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9150114"/>
      </c:catAx>
      <c:valAx>
        <c:axId val="4591501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Ratio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31002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13</xdr:row>
      <xdr:rowOff>142875</xdr:rowOff>
    </xdr:from>
    <xdr:ext cx="5753100" cy="2876550"/>
    <xdr:graphicFrame>
      <xdr:nvGraphicFramePr>
        <xdr:cNvPr id="163902934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28</xdr:row>
      <xdr:rowOff>85725</xdr:rowOff>
    </xdr:from>
    <xdr:ext cx="3590925" cy="2514600"/>
    <xdr:graphicFrame>
      <xdr:nvGraphicFramePr>
        <xdr:cNvPr id="927156325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8.0"/>
    <col customWidth="1" min="2" max="2" width="18.0"/>
    <col customWidth="1" min="3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</row>
    <row r="6">
      <c r="A6" s="4" t="s">
        <v>3</v>
      </c>
      <c r="B6" s="5"/>
    </row>
    <row r="7">
      <c r="A7" s="3" t="s">
        <v>4</v>
      </c>
      <c r="B7" s="6">
        <v>2025.0</v>
      </c>
    </row>
    <row r="8">
      <c r="A8" s="3" t="s">
        <v>5</v>
      </c>
      <c r="B8" s="6">
        <v>2050.0</v>
      </c>
    </row>
    <row r="9">
      <c r="A9" s="3" t="s">
        <v>6</v>
      </c>
      <c r="B9" s="7">
        <v>2890000.0</v>
      </c>
    </row>
    <row r="10">
      <c r="A10" s="3" t="s">
        <v>7</v>
      </c>
      <c r="B10" s="7">
        <v>1750000.0</v>
      </c>
    </row>
    <row r="11">
      <c r="A11" s="3" t="s">
        <v>8</v>
      </c>
      <c r="B11" s="7">
        <v>560000.0</v>
      </c>
    </row>
    <row r="12">
      <c r="A12" s="3" t="s">
        <v>9</v>
      </c>
      <c r="B12" s="8">
        <v>0.008595545682557715</v>
      </c>
    </row>
    <row r="13">
      <c r="A13" s="3" t="s">
        <v>10</v>
      </c>
      <c r="B13" s="8">
        <v>0.01250952694593765</v>
      </c>
    </row>
    <row r="14">
      <c r="A14" s="3" t="s">
        <v>11</v>
      </c>
      <c r="B14" s="8">
        <v>0.01115621707826486</v>
      </c>
    </row>
    <row r="15">
      <c r="A15" s="4" t="s">
        <v>12</v>
      </c>
      <c r="B15" s="5"/>
    </row>
    <row r="17">
      <c r="A17" s="3" t="s">
        <v>13</v>
      </c>
      <c r="B17" s="7">
        <v>2329000.0</v>
      </c>
    </row>
    <row r="18">
      <c r="A18" s="3" t="s">
        <v>14</v>
      </c>
      <c r="B18" s="7">
        <v>0.579</v>
      </c>
    </row>
    <row r="19">
      <c r="B19" s="9"/>
    </row>
    <row r="20">
      <c r="A20" s="4" t="s">
        <v>15</v>
      </c>
      <c r="B20" s="5"/>
    </row>
    <row r="21">
      <c r="A21" s="3" t="s">
        <v>16</v>
      </c>
      <c r="B21" s="7">
        <v>3500.0</v>
      </c>
    </row>
    <row r="22" ht="15.75" customHeight="1">
      <c r="A22" s="3" t="s">
        <v>17</v>
      </c>
      <c r="B22" s="7">
        <v>1000.0</v>
      </c>
    </row>
    <row r="23" ht="15.75" customHeight="1">
      <c r="A23" s="3" t="s">
        <v>18</v>
      </c>
      <c r="B23" s="7">
        <v>600.0</v>
      </c>
    </row>
    <row r="24" ht="15.75" customHeight="1">
      <c r="A24" s="3" t="s">
        <v>19</v>
      </c>
      <c r="B24" s="8">
        <v>0.7</v>
      </c>
    </row>
    <row r="25" ht="15.75" customHeight="1">
      <c r="A25" s="3" t="s">
        <v>20</v>
      </c>
      <c r="B25" s="7">
        <v>800.0</v>
      </c>
    </row>
    <row r="26" ht="15.75" customHeight="1">
      <c r="A26" s="3" t="s">
        <v>21</v>
      </c>
      <c r="B26" s="7">
        <v>450.0</v>
      </c>
    </row>
    <row r="27" ht="15.75" customHeight="1">
      <c r="A27" s="3" t="s">
        <v>22</v>
      </c>
      <c r="B27" s="10">
        <f>SUM(B21:B23)*B24-B25</f>
        <v>2770</v>
      </c>
    </row>
    <row r="28" ht="15.75" customHeight="1">
      <c r="B28" s="11"/>
    </row>
    <row r="29" ht="15.75" customHeight="1">
      <c r="A29" s="4" t="s">
        <v>23</v>
      </c>
      <c r="B29" s="5"/>
    </row>
    <row r="30" ht="15.75" customHeight="1">
      <c r="A30" s="3" t="s">
        <v>24</v>
      </c>
      <c r="B30" s="7">
        <v>28000.0</v>
      </c>
    </row>
    <row r="31" ht="15.75" customHeight="1">
      <c r="A31" s="3" t="s">
        <v>25</v>
      </c>
      <c r="B31" s="8">
        <v>0.35</v>
      </c>
    </row>
    <row r="32" ht="15.75" customHeight="1">
      <c r="A32" s="3" t="s">
        <v>26</v>
      </c>
      <c r="B32" s="7">
        <v>6000.0</v>
      </c>
    </row>
    <row r="33" ht="15.75" customHeight="1">
      <c r="A33" s="3" t="s">
        <v>27</v>
      </c>
      <c r="B33" s="7">
        <v>6.0E7</v>
      </c>
    </row>
    <row r="34" ht="15.75" customHeight="1">
      <c r="A34" s="3" t="s">
        <v>28</v>
      </c>
      <c r="B34" s="10">
        <f>B30*B31-B32</f>
        <v>3800</v>
      </c>
    </row>
    <row r="35" ht="15.75" customHeight="1">
      <c r="A35" s="3" t="s">
        <v>29</v>
      </c>
      <c r="B35" s="12">
        <f>IF(B33&lt;=0,"n/a",B32/B33)</f>
        <v>0.0001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5">
    <mergeCell ref="A6:B6"/>
    <mergeCell ref="A20:B20"/>
    <mergeCell ref="A29:B29"/>
    <mergeCell ref="A15:B15"/>
    <mergeCell ref="A1:Z1"/>
  </mergeCells>
  <printOptions/>
  <pageMargins bottom="1.0" footer="0.0" header="0.0" left="0.75" right="0.75" top="1.0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9" width="18.0"/>
    <col customWidth="1" min="10" max="26" width="8.71"/>
  </cols>
  <sheetData>
    <row r="1">
      <c r="A1" s="2" t="s">
        <v>30</v>
      </c>
    </row>
    <row r="3">
      <c r="A3" s="13" t="s">
        <v>31</v>
      </c>
      <c r="B3" s="13" t="s">
        <v>32</v>
      </c>
      <c r="C3" s="13" t="s">
        <v>33</v>
      </c>
      <c r="D3" s="13" t="s">
        <v>34</v>
      </c>
      <c r="E3" s="13" t="s">
        <v>35</v>
      </c>
      <c r="F3" s="13" t="s">
        <v>36</v>
      </c>
      <c r="G3" s="13" t="s">
        <v>37</v>
      </c>
      <c r="H3" s="13" t="s">
        <v>38</v>
      </c>
      <c r="I3" s="13" t="s">
        <v>39</v>
      </c>
    </row>
    <row r="4">
      <c r="A4" s="14" t="s">
        <v>40</v>
      </c>
      <c r="B4" s="15">
        <v>0.0</v>
      </c>
      <c r="C4" s="15">
        <v>1.0</v>
      </c>
      <c r="D4" s="15">
        <v>0.0</v>
      </c>
      <c r="E4" s="15">
        <v>0.0</v>
      </c>
      <c r="F4" s="15">
        <v>0.0</v>
      </c>
      <c r="G4" s="15">
        <v>0.0</v>
      </c>
      <c r="H4" s="15">
        <v>0.0</v>
      </c>
      <c r="I4" s="15">
        <v>0.0</v>
      </c>
    </row>
    <row r="5">
      <c r="A5" s="14" t="s">
        <v>41</v>
      </c>
      <c r="B5" s="15">
        <v>1.0</v>
      </c>
      <c r="C5" s="15">
        <v>1.0</v>
      </c>
      <c r="D5" s="15">
        <v>1.0</v>
      </c>
      <c r="E5" s="15">
        <v>1.0</v>
      </c>
      <c r="F5" s="15">
        <v>1.0</v>
      </c>
      <c r="G5" s="15">
        <v>0.0</v>
      </c>
      <c r="H5" s="15">
        <v>0.0</v>
      </c>
      <c r="I5" s="15">
        <v>0.0</v>
      </c>
    </row>
    <row r="6">
      <c r="A6" s="14" t="s">
        <v>42</v>
      </c>
      <c r="B6" s="15">
        <v>1.35</v>
      </c>
      <c r="C6" s="15">
        <v>1.05</v>
      </c>
      <c r="D6" s="15">
        <v>0.9</v>
      </c>
      <c r="E6" s="15">
        <v>1.2</v>
      </c>
      <c r="F6" s="15">
        <v>1.1</v>
      </c>
      <c r="G6" s="15">
        <v>0.0</v>
      </c>
      <c r="H6" s="15">
        <v>0.0</v>
      </c>
      <c r="I6" s="15">
        <v>0.0</v>
      </c>
    </row>
    <row r="7">
      <c r="A7" s="14" t="s">
        <v>43</v>
      </c>
      <c r="B7" s="15">
        <v>0.55</v>
      </c>
      <c r="C7" s="15">
        <v>0.9</v>
      </c>
      <c r="D7" s="15">
        <v>1.15</v>
      </c>
      <c r="E7" s="15">
        <v>0.6</v>
      </c>
      <c r="F7" s="15">
        <v>0.9</v>
      </c>
      <c r="G7" s="15">
        <v>0.002</v>
      </c>
      <c r="H7" s="15">
        <v>0.0015</v>
      </c>
      <c r="I7" s="15">
        <v>5.0E-4</v>
      </c>
    </row>
    <row r="10">
      <c r="A10" s="4" t="s">
        <v>44</v>
      </c>
      <c r="B10" s="16"/>
      <c r="C10" s="16"/>
      <c r="D10" s="16"/>
      <c r="E10" s="16"/>
      <c r="F10" s="16"/>
      <c r="G10" s="16"/>
      <c r="H10" s="16"/>
      <c r="I10" s="5"/>
    </row>
    <row r="11">
      <c r="A11" s="3" t="s">
        <v>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0:I10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5" width="13.0"/>
    <col customWidth="1" min="26" max="26" width="8.71"/>
  </cols>
  <sheetData>
    <row r="1">
      <c r="A1" s="2" t="s">
        <v>46</v>
      </c>
    </row>
    <row r="3">
      <c r="A3" s="13" t="s">
        <v>47</v>
      </c>
      <c r="B3" s="13" t="s">
        <v>48</v>
      </c>
      <c r="C3" s="13" t="s">
        <v>49</v>
      </c>
      <c r="D3" s="13" t="s">
        <v>50</v>
      </c>
      <c r="E3" s="13" t="s">
        <v>51</v>
      </c>
      <c r="F3" s="13" t="s">
        <v>52</v>
      </c>
      <c r="G3" s="13" t="s">
        <v>53</v>
      </c>
      <c r="H3" s="13" t="s">
        <v>54</v>
      </c>
      <c r="I3" s="13" t="s">
        <v>55</v>
      </c>
      <c r="J3" s="13" t="s">
        <v>56</v>
      </c>
      <c r="K3" s="13" t="s">
        <v>57</v>
      </c>
      <c r="L3" s="13" t="s">
        <v>58</v>
      </c>
      <c r="M3" s="13" t="s">
        <v>59</v>
      </c>
      <c r="N3" s="13" t="s">
        <v>60</v>
      </c>
      <c r="O3" s="13" t="s">
        <v>61</v>
      </c>
      <c r="P3" s="13" t="s">
        <v>62</v>
      </c>
      <c r="Q3" s="13" t="s">
        <v>63</v>
      </c>
      <c r="R3" s="13" t="s">
        <v>64</v>
      </c>
      <c r="S3" s="13" t="s">
        <v>65</v>
      </c>
      <c r="T3" s="13" t="s">
        <v>66</v>
      </c>
      <c r="U3" s="13" t="s">
        <v>67</v>
      </c>
      <c r="V3" s="13" t="s">
        <v>68</v>
      </c>
      <c r="W3" s="13" t="s">
        <v>69</v>
      </c>
      <c r="X3" s="13" t="s">
        <v>70</v>
      </c>
      <c r="Y3" s="13" t="s">
        <v>71</v>
      </c>
    </row>
    <row r="4">
      <c r="A4" s="14">
        <v>2025.0</v>
      </c>
      <c r="B4" s="9">
        <f>Inputs!B9</f>
        <v>2890000</v>
      </c>
      <c r="C4" s="9">
        <f>Inputs!B10</f>
        <v>1750000</v>
      </c>
      <c r="D4" s="9">
        <f>Inputs!B11</f>
        <v>560000</v>
      </c>
      <c r="E4" s="17">
        <f t="shared" ref="E4:E29" si="1">IFERROR(D4/C4,0)</f>
        <v>0.32</v>
      </c>
      <c r="F4" s="9" t="s">
        <v>72</v>
      </c>
      <c r="G4" s="9">
        <f>F4*Inputs!B33-Inputs!B32*Scenario_Drivers!F4</f>
        <v>0</v>
      </c>
      <c r="H4" s="9">
        <f>Inputs!B9</f>
        <v>2890000</v>
      </c>
      <c r="I4" s="9">
        <f>Inputs!B10</f>
        <v>1750000</v>
      </c>
      <c r="J4" s="9">
        <f>Inputs!B11</f>
        <v>560000</v>
      </c>
      <c r="K4" s="17">
        <f t="shared" ref="K4:K29" si="2">IFERROR(J4/I4,0)</f>
        <v>0.32</v>
      </c>
      <c r="L4" s="9">
        <f>((Inputs!B21+Inputs!B22+Inputs!B23)*Scenario_Drivers!B5)*(Inputs!B24*Scenario_Drivers!C5)-(Inputs!B25*Scenario_Drivers!D5)</f>
        <v>2770</v>
      </c>
      <c r="M4" s="9">
        <f>L4*Inputs!B33 + Inputs!B26*Scenario_Drivers!E5*(Inputs!B30*Inputs!B31) - Inputs!B32*Scenario_Drivers!F5</f>
        <v>166204404000</v>
      </c>
      <c r="N4" s="9">
        <f>Inputs!B9</f>
        <v>2890000</v>
      </c>
      <c r="O4" s="9">
        <f>Inputs!B10</f>
        <v>1750000</v>
      </c>
      <c r="P4" s="9">
        <f>Inputs!B11</f>
        <v>560000</v>
      </c>
      <c r="Q4" s="17">
        <f t="shared" ref="Q4:Q29" si="3">IFERROR(P4/O4,0)</f>
        <v>0.32</v>
      </c>
      <c r="R4" s="9">
        <f>((Inputs!B21+Inputs!B22+Inputs!B23)*Scenario_Drivers!B6)*(Inputs!B24*Scenario_Drivers!C6)-(Inputs!B25*Scenario_Drivers!D6)</f>
        <v>4340.475</v>
      </c>
      <c r="S4" s="9">
        <f>R4*Inputs!B33 + Inputs!B26*Scenario_Drivers!E6*(Inputs!B30*Inputs!B31) - Inputs!B32*Scenario_Drivers!F6</f>
        <v>260433785400</v>
      </c>
      <c r="T4" s="9">
        <f>Inputs!B9</f>
        <v>2890000</v>
      </c>
      <c r="U4" s="9">
        <f>Inputs!B10</f>
        <v>1750000</v>
      </c>
      <c r="V4" s="9">
        <f>Inputs!B11</f>
        <v>560000</v>
      </c>
      <c r="W4" s="17">
        <f t="shared" ref="W4:W29" si="4">IFERROR(V4/U4,0)</f>
        <v>0.32</v>
      </c>
      <c r="X4" s="9">
        <f>((Inputs!B21+Inputs!B22+Inputs!B23)*Scenario_Drivers!B7)*(Inputs!B24*Scenario_Drivers!C7)-(Inputs!B25*Scenario_Drivers!D7)</f>
        <v>847.15</v>
      </c>
      <c r="Y4" s="9">
        <f>X4*Inputs!B33 + Inputs!B26*Scenario_Drivers!E7*(Inputs!B30*Inputs!B31) - Inputs!B32*Scenario_Drivers!F7</f>
        <v>50831640600</v>
      </c>
    </row>
    <row r="5">
      <c r="A5" s="14">
        <v>2026.0</v>
      </c>
      <c r="B5" s="9">
        <f>B4*(1-(Inputs!B12+Scenario_Drivers!G4))</f>
        <v>2865158.873</v>
      </c>
      <c r="C5" s="9">
        <f>C4*(1-(Inputs!B13+Scenario_Drivers!H4))</f>
        <v>1728108.328</v>
      </c>
      <c r="D5" s="9">
        <f>D4*(1+(Inputs!B14+Scenario_Drivers!I4))</f>
        <v>566247.4816</v>
      </c>
      <c r="E5" s="17">
        <f t="shared" si="1"/>
        <v>0.3276689733</v>
      </c>
      <c r="F5" s="9" t="s">
        <v>72</v>
      </c>
      <c r="G5" s="9">
        <f>F5*Inputs!B33-Inputs!B32*Scenario_Drivers!F4</f>
        <v>0</v>
      </c>
      <c r="H5" s="9">
        <f>H4*(1-(Inputs!B12+Scenario_Drivers!G5))+L5</f>
        <v>2867928.873</v>
      </c>
      <c r="I5" s="9">
        <f>I4*(1-(Inputs!B13+Scenario_Drivers!H5))+L5+Inputs!B26*Scenario_Drivers!E5</f>
        <v>1731328.328</v>
      </c>
      <c r="J5" s="9">
        <f>J4*(1+(Inputs!B14+Scenario_Drivers!I5))</f>
        <v>566247.4816</v>
      </c>
      <c r="K5" s="17">
        <f t="shared" si="2"/>
        <v>0.3270595603</v>
      </c>
      <c r="L5" s="9">
        <f>((Inputs!B21+Inputs!B22+Inputs!B23)*Scenario_Drivers!B5)*(Inputs!B24*Scenario_Drivers!C5)-(Inputs!B25*Scenario_Drivers!D5)</f>
        <v>2770</v>
      </c>
      <c r="M5" s="9">
        <f>L5*Inputs!B33 + Inputs!B26*Scenario_Drivers!E5*(Inputs!B30*Inputs!B31) - Inputs!B32*Scenario_Drivers!F5</f>
        <v>166204404000</v>
      </c>
      <c r="N5" s="9">
        <f>N4*(1-(Inputs!B12+Scenario_Drivers!G6))+R5</f>
        <v>2869499.348</v>
      </c>
      <c r="O5" s="9">
        <f>O4*(1-(Inputs!B13+Scenario_Drivers!H6))+R5+Inputs!B26*Scenario_Drivers!E6</f>
        <v>1732988.803</v>
      </c>
      <c r="P5" s="9">
        <f>P4*(1+(Inputs!B14+Scenario_Drivers!I6))</f>
        <v>566247.4816</v>
      </c>
      <c r="Q5" s="17">
        <f t="shared" si="3"/>
        <v>0.3267461859</v>
      </c>
      <c r="R5" s="9">
        <f>((Inputs!B21+Inputs!B22+Inputs!B23)*Scenario_Drivers!B6)*(Inputs!B24*Scenario_Drivers!C6)-(Inputs!B25*Scenario_Drivers!D6)</f>
        <v>4340.475</v>
      </c>
      <c r="S5" s="9">
        <f>R5*Inputs!B33 + Inputs!B26*Scenario_Drivers!E6*(Inputs!B30*Inputs!B31) - Inputs!B32*Scenario_Drivers!F6</f>
        <v>260433785400</v>
      </c>
      <c r="T5" s="9">
        <f>T4*(1-(Inputs!B12+Scenario_Drivers!G7))+X5</f>
        <v>2860226.023</v>
      </c>
      <c r="U5" s="9">
        <f>U4*(1-(Inputs!B13+Scenario_Drivers!H7))+X5+Inputs!B26*Scenario_Drivers!E7</f>
        <v>1726600.478</v>
      </c>
      <c r="V5" s="9">
        <f>V4*(1+(Inputs!B14+Scenario_Drivers!I7))</f>
        <v>566527.4816</v>
      </c>
      <c r="W5" s="17">
        <f t="shared" si="4"/>
        <v>0.3281172969</v>
      </c>
      <c r="X5" s="9">
        <f>((Inputs!B21+Inputs!B22+Inputs!B23)*Scenario_Drivers!B7)*(Inputs!B24*Scenario_Drivers!C7)-(Inputs!B25*Scenario_Drivers!D7)</f>
        <v>847.15</v>
      </c>
      <c r="Y5" s="9">
        <f>X5*Inputs!B33 + Inputs!B26*Scenario_Drivers!E7*(Inputs!B30*Inputs!B31) - Inputs!B32*Scenario_Drivers!F7</f>
        <v>50831640600</v>
      </c>
    </row>
    <row r="6">
      <c r="A6" s="14">
        <v>2027.0</v>
      </c>
      <c r="B6" s="9">
        <f>B5*(1-(Inputs!B12+Scenario_Drivers!G4))</f>
        <v>2840531.269</v>
      </c>
      <c r="C6" s="9">
        <f>C5*(1-(Inputs!B13+Scenario_Drivers!H4))</f>
        <v>1706490.51</v>
      </c>
      <c r="D6" s="9">
        <f>D5*(1+(Inputs!B14+Scenario_Drivers!I4))</f>
        <v>572564.6614</v>
      </c>
      <c r="E6" s="17">
        <f t="shared" si="1"/>
        <v>0.3355217377</v>
      </c>
      <c r="F6" s="9" t="s">
        <v>72</v>
      </c>
      <c r="G6" s="9">
        <f>F6*Inputs!B33-Inputs!B32*Scenario_Drivers!F4</f>
        <v>0</v>
      </c>
      <c r="H6" s="9">
        <f>H5*(1-(Inputs!B12+Scenario_Drivers!G5))+L6</f>
        <v>2846047.459</v>
      </c>
      <c r="I6" s="9">
        <f>I5*(1-(Inputs!B13+Scenario_Drivers!H5))+L6+Inputs!B26*Scenario_Drivers!E5</f>
        <v>1712890.229</v>
      </c>
      <c r="J6" s="9">
        <f>J5*(1+(Inputs!B14+Scenario_Drivers!I5))</f>
        <v>572564.6614</v>
      </c>
      <c r="K6" s="17">
        <f t="shared" si="2"/>
        <v>0.3342681577</v>
      </c>
      <c r="L6" s="9">
        <f>((Inputs!B21+Inputs!B22+Inputs!B23)*Scenario_Drivers!B5)*(Inputs!B24*Scenario_Drivers!C5)-(Inputs!B25*Scenario_Drivers!D5)</f>
        <v>2770</v>
      </c>
      <c r="M6" s="9">
        <f>L6*Inputs!B33 + Inputs!B26*Scenario_Drivers!E5*(Inputs!B30*Inputs!B31) - Inputs!B32*Scenario_Drivers!F5</f>
        <v>166204404000</v>
      </c>
      <c r="N6" s="9">
        <f>N5*(1-(Inputs!B12+Scenario_Drivers!G6))+R6</f>
        <v>2849174.91</v>
      </c>
      <c r="O6" s="9">
        <f>O5*(1-(Inputs!B13+Scenario_Drivers!H6))+R6+Inputs!B26*Scenario_Drivers!E6</f>
        <v>1716190.408</v>
      </c>
      <c r="P6" s="9">
        <f>P5*(1+(Inputs!B14+Scenario_Drivers!I6))</f>
        <v>572564.6614</v>
      </c>
      <c r="Q6" s="17">
        <f t="shared" si="3"/>
        <v>0.3336253709</v>
      </c>
      <c r="R6" s="9">
        <f>((Inputs!B21+Inputs!B22+Inputs!B23)*Scenario_Drivers!B6)*(Inputs!B24*Scenario_Drivers!C6)-(Inputs!B25*Scenario_Drivers!D6)</f>
        <v>4340.475</v>
      </c>
      <c r="S6" s="9">
        <f>R6*Inputs!B33 + Inputs!B26*Scenario_Drivers!E6*(Inputs!B30*Inputs!B31) - Inputs!B32*Scenario_Drivers!F6</f>
        <v>260433785400</v>
      </c>
      <c r="T6" s="9">
        <f>T5*(1-(Inputs!B12+Scenario_Drivers!G7))+X6</f>
        <v>2830767.517</v>
      </c>
      <c r="U6" s="9">
        <f>U5*(1-(Inputs!B13+Scenario_Drivers!H7))+X6+Inputs!B26*Scenario_Drivers!E7</f>
        <v>1703528.772</v>
      </c>
      <c r="V6" s="9">
        <f>V5*(1+(Inputs!B14+Scenario_Drivers!I7))</f>
        <v>573131.0489</v>
      </c>
      <c r="W6" s="17">
        <f t="shared" si="4"/>
        <v>0.3364375515</v>
      </c>
      <c r="X6" s="9">
        <f>((Inputs!B21+Inputs!B22+Inputs!B23)*Scenario_Drivers!B7)*(Inputs!B24*Scenario_Drivers!C7)-(Inputs!B25*Scenario_Drivers!D7)</f>
        <v>847.15</v>
      </c>
      <c r="Y6" s="9">
        <f>X6*Inputs!B33 + Inputs!B26*Scenario_Drivers!E7*(Inputs!B30*Inputs!B31) - Inputs!B32*Scenario_Drivers!F7</f>
        <v>50831640600</v>
      </c>
    </row>
    <row r="7">
      <c r="A7" s="14">
        <v>2028.0</v>
      </c>
      <c r="B7" s="9">
        <f>B6*(1-(Inputs!B12+Scenario_Drivers!G4))</f>
        <v>2816115.353</v>
      </c>
      <c r="C7" s="9">
        <f>C6*(1-(Inputs!B13+Scenario_Drivers!H4))</f>
        <v>1685143.121</v>
      </c>
      <c r="D7" s="9">
        <f>D6*(1+(Inputs!B14+Scenario_Drivers!I4))</f>
        <v>578952.317</v>
      </c>
      <c r="E7" s="17">
        <f t="shared" si="1"/>
        <v>0.3435626979</v>
      </c>
      <c r="F7" s="9" t="s">
        <v>72</v>
      </c>
      <c r="G7" s="9">
        <f>F7*Inputs!B33-Inputs!B32*Scenario_Drivers!F4</f>
        <v>0</v>
      </c>
      <c r="H7" s="9">
        <f>H6*(1-(Inputs!B12+Scenario_Drivers!G5))+L7</f>
        <v>2824354.128</v>
      </c>
      <c r="I7" s="9">
        <f>I6*(1-(Inputs!B13+Scenario_Drivers!H5))+L7+Inputs!B26*Scenario_Drivers!E5</f>
        <v>1694682.783</v>
      </c>
      <c r="J7" s="9">
        <f>J6*(1+(Inputs!B14+Scenario_Drivers!I5))</f>
        <v>578952.317</v>
      </c>
      <c r="K7" s="17">
        <f t="shared" si="2"/>
        <v>0.3416287242</v>
      </c>
      <c r="L7" s="9">
        <f>((Inputs!B21+Inputs!B22+Inputs!B23)*Scenario_Drivers!B5)*(Inputs!B24*Scenario_Drivers!C5)-(Inputs!B25*Scenario_Drivers!D5)</f>
        <v>2770</v>
      </c>
      <c r="M7" s="9">
        <f>L7*Inputs!B33 + Inputs!B26*Scenario_Drivers!E5*(Inputs!B30*Inputs!B31) - Inputs!B32*Scenario_Drivers!F5</f>
        <v>166204404000</v>
      </c>
      <c r="N7" s="9">
        <f>N6*(1-(Inputs!B12+Scenario_Drivers!G6))+R7</f>
        <v>2829025.172</v>
      </c>
      <c r="O7" s="9">
        <f>O6*(1-(Inputs!B13+Scenario_Drivers!H6))+R7+Inputs!B26*Scenario_Drivers!E6</f>
        <v>1699602.153</v>
      </c>
      <c r="P7" s="9">
        <f>P6*(1+(Inputs!B14+Scenario_Drivers!I6))</f>
        <v>578952.317</v>
      </c>
      <c r="Q7" s="17">
        <f t="shared" si="3"/>
        <v>0.3406399057</v>
      </c>
      <c r="R7" s="9">
        <f>((Inputs!B21+Inputs!B22+Inputs!B23)*Scenario_Drivers!B6)*(Inputs!B24*Scenario_Drivers!C6)-(Inputs!B25*Scenario_Drivers!D6)</f>
        <v>4340.475</v>
      </c>
      <c r="S7" s="9">
        <f>R7*Inputs!B33 + Inputs!B26*Scenario_Drivers!E6*(Inputs!B30*Inputs!B31) - Inputs!B32*Scenario_Drivers!F6</f>
        <v>260433785400</v>
      </c>
      <c r="T7" s="9">
        <f>T6*(1-(Inputs!B12+Scenario_Drivers!G7))+X7</f>
        <v>2801621.141</v>
      </c>
      <c r="U7" s="9">
        <f>U6*(1-(Inputs!B13+Scenario_Drivers!H7))+X7+Inputs!B26*Scenario_Drivers!E7</f>
        <v>1680780.29</v>
      </c>
      <c r="V7" s="9">
        <f>V6*(1+(Inputs!B14+Scenario_Drivers!I7))</f>
        <v>579811.5888</v>
      </c>
      <c r="W7" s="17">
        <f t="shared" si="4"/>
        <v>0.3449657236</v>
      </c>
      <c r="X7" s="9">
        <f>((Inputs!B21+Inputs!B22+Inputs!B23)*Scenario_Drivers!B7)*(Inputs!B24*Scenario_Drivers!C7)-(Inputs!B25*Scenario_Drivers!D7)</f>
        <v>847.15</v>
      </c>
      <c r="Y7" s="9">
        <f>X7*Inputs!B33 + Inputs!B26*Scenario_Drivers!E7*(Inputs!B30*Inputs!B31) - Inputs!B32*Scenario_Drivers!F7</f>
        <v>50831640600</v>
      </c>
    </row>
    <row r="8">
      <c r="A8" s="14">
        <v>2029.0</v>
      </c>
      <c r="B8" s="9">
        <f>B7*(1-(Inputs!B12+Scenario_Drivers!G4))</f>
        <v>2791909.305</v>
      </c>
      <c r="C8" s="9">
        <f>C7*(1-(Inputs!B13+Scenario_Drivers!H4))</f>
        <v>1664062.778</v>
      </c>
      <c r="D8" s="9">
        <f>D7*(1+(Inputs!B14+Scenario_Drivers!I4))</f>
        <v>585411.2348</v>
      </c>
      <c r="E8" s="17">
        <f t="shared" si="1"/>
        <v>0.351796364</v>
      </c>
      <c r="F8" s="9" t="s">
        <v>72</v>
      </c>
      <c r="G8" s="9">
        <f>F8*Inputs!B33-Inputs!B32*Scenario_Drivers!F4</f>
        <v>0</v>
      </c>
      <c r="H8" s="9">
        <f>H7*(1-(Inputs!B12+Scenario_Drivers!G5))+L8</f>
        <v>2802847.263</v>
      </c>
      <c r="I8" s="9">
        <f>I7*(1-(Inputs!B13+Scenario_Drivers!H5))+L8+Inputs!B26*Scenario_Drivers!E5</f>
        <v>1676703.103</v>
      </c>
      <c r="J8" s="9">
        <f>J7*(1+(Inputs!B14+Scenario_Drivers!I5))</f>
        <v>585411.2348</v>
      </c>
      <c r="K8" s="17">
        <f t="shared" si="2"/>
        <v>0.3491442425</v>
      </c>
      <c r="L8" s="9">
        <f>((Inputs!B21+Inputs!B22+Inputs!B23)*Scenario_Drivers!B5)*(Inputs!B24*Scenario_Drivers!C5)-(Inputs!B25*Scenario_Drivers!D5)</f>
        <v>2770</v>
      </c>
      <c r="M8" s="9">
        <f>L8*Inputs!B33 + Inputs!B26*Scenario_Drivers!E5*(Inputs!B30*Inputs!B31) - Inputs!B32*Scenario_Drivers!F5</f>
        <v>166204404000</v>
      </c>
      <c r="N8" s="9">
        <f>N7*(1-(Inputs!B12+Scenario_Drivers!G6))+R8</f>
        <v>2809048.632</v>
      </c>
      <c r="O8" s="9">
        <f>O7*(1-(Inputs!B13+Scenario_Drivers!H6))+R8+Inputs!B26*Scenario_Drivers!E6</f>
        <v>1683221.409</v>
      </c>
      <c r="P8" s="9">
        <f>P7*(1+(Inputs!B14+Scenario_Drivers!I6))</f>
        <v>585411.2348</v>
      </c>
      <c r="Q8" s="17">
        <f t="shared" si="3"/>
        <v>0.347792175</v>
      </c>
      <c r="R8" s="9">
        <f>((Inputs!B21+Inputs!B22+Inputs!B23)*Scenario_Drivers!B6)*(Inputs!B24*Scenario_Drivers!C6)-(Inputs!B25*Scenario_Drivers!D6)</f>
        <v>4340.475</v>
      </c>
      <c r="S8" s="9">
        <f>R8*Inputs!B33 + Inputs!B26*Scenario_Drivers!E6*(Inputs!B30*Inputs!B31) - Inputs!B32*Scenario_Drivers!F6</f>
        <v>260433785400</v>
      </c>
      <c r="T8" s="9">
        <f>T7*(1-(Inputs!B12+Scenario_Drivers!G7))+X8</f>
        <v>2772783.586</v>
      </c>
      <c r="U8" s="9">
        <f>U7*(1-(Inputs!B13+Scenario_Drivers!H7))+X8+Inputs!B26*Scenario_Drivers!E7</f>
        <v>1658350.503</v>
      </c>
      <c r="V8" s="9">
        <f>V7*(1+(Inputs!B14+Scenario_Drivers!I7))</f>
        <v>586569.9985</v>
      </c>
      <c r="W8" s="17">
        <f t="shared" si="4"/>
        <v>0.3537068898</v>
      </c>
      <c r="X8" s="9">
        <f>((Inputs!B21+Inputs!B22+Inputs!B23)*Scenario_Drivers!B7)*(Inputs!B24*Scenario_Drivers!C7)-(Inputs!B25*Scenario_Drivers!D7)</f>
        <v>847.15</v>
      </c>
      <c r="Y8" s="9">
        <f>X8*Inputs!B33 + Inputs!B26*Scenario_Drivers!E7*(Inputs!B30*Inputs!B31) - Inputs!B32*Scenario_Drivers!F7</f>
        <v>50831640600</v>
      </c>
    </row>
    <row r="9">
      <c r="A9" s="14">
        <v>2030.0</v>
      </c>
      <c r="B9" s="9">
        <f>B8*(1-(Inputs!B12+Scenario_Drivers!G4))</f>
        <v>2767911.321</v>
      </c>
      <c r="C9" s="9">
        <f>C8*(1-(Inputs!B13+Scenario_Drivers!H4))</f>
        <v>1643246.14</v>
      </c>
      <c r="D9" s="9">
        <f>D8*(1+(Inputs!B14+Scenario_Drivers!I4))</f>
        <v>591942.2096</v>
      </c>
      <c r="E9" s="17">
        <f t="shared" si="1"/>
        <v>0.3602273544</v>
      </c>
      <c r="F9" s="9" t="s">
        <v>72</v>
      </c>
      <c r="G9" s="9">
        <f>F9*Inputs!B33-Inputs!B32*Scenario_Drivers!F4</f>
        <v>0</v>
      </c>
      <c r="H9" s="9">
        <f>H8*(1-(Inputs!B12+Scenario_Drivers!G5))+L9</f>
        <v>2781525.262</v>
      </c>
      <c r="I9" s="9">
        <f>I8*(1-(Inputs!B13+Scenario_Drivers!H5))+L9+Inputs!B26*Scenario_Drivers!E5</f>
        <v>1658948.34</v>
      </c>
      <c r="J9" s="9">
        <f>J8*(1+(Inputs!B14+Scenario_Drivers!I5))</f>
        <v>591942.2096</v>
      </c>
      <c r="K9" s="17">
        <f t="shared" si="2"/>
        <v>0.3568177472</v>
      </c>
      <c r="L9" s="9">
        <f>((Inputs!B21+Inputs!B22+Inputs!B23)*Scenario_Drivers!B5)*(Inputs!B24*Scenario_Drivers!C5)-(Inputs!B25*Scenario_Drivers!D5)</f>
        <v>2770</v>
      </c>
      <c r="M9" s="9">
        <f>L9*Inputs!B33 + Inputs!B26*Scenario_Drivers!E5*(Inputs!B30*Inputs!B31) - Inputs!B32*Scenario_Drivers!F5</f>
        <v>166204404000</v>
      </c>
      <c r="N9" s="9">
        <f>N8*(1-(Inputs!B12+Scenario_Drivers!G6))+R9</f>
        <v>2789243.801</v>
      </c>
      <c r="O9" s="9">
        <f>O8*(1-(Inputs!B13+Scenario_Drivers!H6))+R9+Inputs!B26*Scenario_Drivers!E6</f>
        <v>1667045.58</v>
      </c>
      <c r="P9" s="9">
        <f>P8*(1+(Inputs!B14+Scenario_Drivers!I6))</f>
        <v>591942.2096</v>
      </c>
      <c r="Q9" s="17">
        <f t="shared" si="3"/>
        <v>0.355084598</v>
      </c>
      <c r="R9" s="9">
        <f>((Inputs!B21+Inputs!B22+Inputs!B23)*Scenario_Drivers!B6)*(Inputs!B24*Scenario_Drivers!C6)-(Inputs!B25*Scenario_Drivers!D6)</f>
        <v>4340.475</v>
      </c>
      <c r="S9" s="9">
        <f>R9*Inputs!B33 + Inputs!B26*Scenario_Drivers!E6*(Inputs!B30*Inputs!B31) - Inputs!B32*Scenario_Drivers!F6</f>
        <v>260433785400</v>
      </c>
      <c r="T9" s="9">
        <f>T8*(1-(Inputs!B12+Scenario_Drivers!G7))+X9</f>
        <v>2744251.581</v>
      </c>
      <c r="U9" s="9">
        <f>U8*(1-(Inputs!B13+Scenario_Drivers!H7))+X9+Inputs!B26*Scenario_Drivers!E7</f>
        <v>1636234.947</v>
      </c>
      <c r="V9" s="9">
        <f>V8*(1+(Inputs!B14+Scenario_Drivers!I7))</f>
        <v>593407.1858</v>
      </c>
      <c r="W9" s="17">
        <f t="shared" si="4"/>
        <v>0.362666246</v>
      </c>
      <c r="X9" s="9">
        <f>((Inputs!B21+Inputs!B22+Inputs!B23)*Scenario_Drivers!B7)*(Inputs!B24*Scenario_Drivers!C7)-(Inputs!B25*Scenario_Drivers!D7)</f>
        <v>847.15</v>
      </c>
      <c r="Y9" s="9">
        <f>X9*Inputs!B33 + Inputs!B26*Scenario_Drivers!E7*(Inputs!B30*Inputs!B31) - Inputs!B32*Scenario_Drivers!F7</f>
        <v>50831640600</v>
      </c>
    </row>
    <row r="10">
      <c r="A10" s="14">
        <v>2031.0</v>
      </c>
      <c r="B10" s="9">
        <f>B9*(1-(Inputs!B12+Scenario_Drivers!G4))</f>
        <v>2744119.612</v>
      </c>
      <c r="C10" s="9">
        <f>C9*(1-(Inputs!B13+Scenario_Drivers!H4))</f>
        <v>1622689.908</v>
      </c>
      <c r="D10" s="9">
        <f>D9*(1+(Inputs!B14+Scenario_Drivers!I4))</f>
        <v>598546.0454</v>
      </c>
      <c r="E10" s="17">
        <f t="shared" si="1"/>
        <v>0.3688603981</v>
      </c>
      <c r="F10" s="9" t="s">
        <v>72</v>
      </c>
      <c r="G10" s="9">
        <f>F10*Inputs!B33-Inputs!B32*Scenario_Drivers!F4</f>
        <v>0</v>
      </c>
      <c r="H10" s="9">
        <f>H9*(1-(Inputs!B12+Scenario_Drivers!G5))+L10</f>
        <v>2760386.534</v>
      </c>
      <c r="I10" s="9">
        <f>I9*(1-(Inputs!B13+Scenario_Drivers!H5))+L10+Inputs!B26*Scenario_Drivers!E5</f>
        <v>1641415.681</v>
      </c>
      <c r="J10" s="9">
        <f>J9*(1+(Inputs!B14+Scenario_Drivers!I5))</f>
        <v>598546.0454</v>
      </c>
      <c r="K10" s="17">
        <f t="shared" si="2"/>
        <v>0.3646523255</v>
      </c>
      <c r="L10" s="9">
        <f>((Inputs!B21+Inputs!B22+Inputs!B23)*Scenario_Drivers!B5)*(Inputs!B24*Scenario_Drivers!C5)-(Inputs!B25*Scenario_Drivers!D5)</f>
        <v>2770</v>
      </c>
      <c r="M10" s="9">
        <f>L10*Inputs!B33 + Inputs!B26*Scenario_Drivers!E5*(Inputs!B30*Inputs!B31) - Inputs!B32*Scenario_Drivers!F5</f>
        <v>166204404000</v>
      </c>
      <c r="N10" s="9">
        <f>N9*(1-(Inputs!B12+Scenario_Drivers!G6))+R10</f>
        <v>2769609.204</v>
      </c>
      <c r="O10" s="9">
        <f>O9*(1-(Inputs!B13+Scenario_Drivers!H6))+R10+Inputs!B26*Scenario_Drivers!E6</f>
        <v>1651072.103</v>
      </c>
      <c r="P10" s="9">
        <f>P9*(1+(Inputs!B14+Scenario_Drivers!I6))</f>
        <v>598546.0454</v>
      </c>
      <c r="Q10" s="17">
        <f t="shared" si="3"/>
        <v>0.3625196284</v>
      </c>
      <c r="R10" s="9">
        <f>((Inputs!B21+Inputs!B22+Inputs!B23)*Scenario_Drivers!B6)*(Inputs!B24*Scenario_Drivers!C6)-(Inputs!B25*Scenario_Drivers!D6)</f>
        <v>4340.475</v>
      </c>
      <c r="S10" s="9">
        <f>R10*Inputs!B33 + Inputs!B26*Scenario_Drivers!E6*(Inputs!B30*Inputs!B31) - Inputs!B32*Scenario_Drivers!F6</f>
        <v>260433785400</v>
      </c>
      <c r="T10" s="9">
        <f>T9*(1-(Inputs!B12+Scenario_Drivers!G7))+X10</f>
        <v>2716021.888</v>
      </c>
      <c r="U10" s="9">
        <f>U9*(1-(Inputs!B13+Scenario_Drivers!H7))+X10+Inputs!B26*Scenario_Drivers!E7</f>
        <v>1614429.219</v>
      </c>
      <c r="V10" s="9">
        <f>V9*(1+(Inputs!B14+Scenario_Drivers!I7))</f>
        <v>600324.0687</v>
      </c>
      <c r="W10" s="17">
        <f t="shared" si="4"/>
        <v>0.3718491102</v>
      </c>
      <c r="X10" s="9">
        <f>((Inputs!B21+Inputs!B22+Inputs!B23)*Scenario_Drivers!B7)*(Inputs!B24*Scenario_Drivers!C7)-(Inputs!B25*Scenario_Drivers!D7)</f>
        <v>847.15</v>
      </c>
      <c r="Y10" s="9">
        <f>X10*Inputs!B33 + Inputs!B26*Scenario_Drivers!E7*(Inputs!B30*Inputs!B31) - Inputs!B32*Scenario_Drivers!F7</f>
        <v>50831640600</v>
      </c>
    </row>
    <row r="11">
      <c r="A11" s="14">
        <v>2032.0</v>
      </c>
      <c r="B11" s="9">
        <f>B10*(1-(Inputs!B12+Scenario_Drivers!G4))</f>
        <v>2720532.407</v>
      </c>
      <c r="C11" s="9">
        <f>C10*(1-(Inputs!B13+Scenario_Drivers!H4))</f>
        <v>1602390.825</v>
      </c>
      <c r="D11" s="9">
        <f>D10*(1+(Inputs!B14+Scenario_Drivers!I4))</f>
        <v>605223.555</v>
      </c>
      <c r="E11" s="17">
        <f t="shared" si="1"/>
        <v>0.3777003373</v>
      </c>
      <c r="F11" s="9" t="s">
        <v>72</v>
      </c>
      <c r="G11" s="9">
        <f>F11*Inputs!B33-Inputs!B32*Scenario_Drivers!F4</f>
        <v>0</v>
      </c>
      <c r="H11" s="9">
        <f>H10*(1-(Inputs!B12+Scenario_Drivers!G5))+L11</f>
        <v>2739429.506</v>
      </c>
      <c r="I11" s="9">
        <f>I10*(1-(Inputs!B13+Scenario_Drivers!H5))+L11+Inputs!B26*Scenario_Drivers!E5</f>
        <v>1624102.348</v>
      </c>
      <c r="J11" s="9">
        <f>J10*(1+(Inputs!B14+Scenario_Drivers!I5))</f>
        <v>605223.555</v>
      </c>
      <c r="K11" s="17">
        <f t="shared" si="2"/>
        <v>0.3726511176</v>
      </c>
      <c r="L11" s="9">
        <f>((Inputs!B21+Inputs!B22+Inputs!B23)*Scenario_Drivers!B5)*(Inputs!B24*Scenario_Drivers!C5)-(Inputs!B25*Scenario_Drivers!D5)</f>
        <v>2770</v>
      </c>
      <c r="M11" s="9">
        <f>L11*Inputs!B33 + Inputs!B26*Scenario_Drivers!E5*(Inputs!B30*Inputs!B31) - Inputs!B32*Scenario_Drivers!F5</f>
        <v>166204404000</v>
      </c>
      <c r="N11" s="9">
        <f>N10*(1-(Inputs!B12+Scenario_Drivers!G6))+R11</f>
        <v>2750143.376</v>
      </c>
      <c r="O11" s="9">
        <f>O10*(1-(Inputs!B13+Scenario_Drivers!H6))+R11+Inputs!B26*Scenario_Drivers!E6</f>
        <v>1635298.448</v>
      </c>
      <c r="P11" s="9">
        <f>P10*(1+(Inputs!B14+Scenario_Drivers!I6))</f>
        <v>605223.555</v>
      </c>
      <c r="Q11" s="17">
        <f t="shared" si="3"/>
        <v>0.3700997551</v>
      </c>
      <c r="R11" s="9">
        <f>((Inputs!B21+Inputs!B22+Inputs!B23)*Scenario_Drivers!B6)*(Inputs!B24*Scenario_Drivers!C6)-(Inputs!B25*Scenario_Drivers!D6)</f>
        <v>4340.475</v>
      </c>
      <c r="S11" s="9">
        <f>R11*Inputs!B33 + Inputs!B26*Scenario_Drivers!E6*(Inputs!B30*Inputs!B31) - Inputs!B32*Scenario_Drivers!F6</f>
        <v>260433785400</v>
      </c>
      <c r="T11" s="9">
        <f>T10*(1-(Inputs!B12+Scenario_Drivers!G7))+X11</f>
        <v>2688091.304</v>
      </c>
      <c r="U11" s="9">
        <f>U10*(1-(Inputs!B13+Scenario_Drivers!H7))+X11+Inputs!B26*Scenario_Drivers!E7</f>
        <v>1592928.98</v>
      </c>
      <c r="V11" s="9">
        <f>V10*(1+(Inputs!B14+Scenario_Drivers!I7))</f>
        <v>607321.5764</v>
      </c>
      <c r="W11" s="17">
        <f t="shared" si="4"/>
        <v>0.3812609251</v>
      </c>
      <c r="X11" s="9">
        <f>((Inputs!B21+Inputs!B22+Inputs!B23)*Scenario_Drivers!B7)*(Inputs!B24*Scenario_Drivers!C7)-(Inputs!B25*Scenario_Drivers!D7)</f>
        <v>847.15</v>
      </c>
      <c r="Y11" s="9">
        <f>X11*Inputs!B33 + Inputs!B26*Scenario_Drivers!E7*(Inputs!B30*Inputs!B31) - Inputs!B32*Scenario_Drivers!F7</f>
        <v>50831640600</v>
      </c>
    </row>
    <row r="12">
      <c r="A12" s="14">
        <v>2033.0</v>
      </c>
      <c r="B12" s="9">
        <f>B11*(1-(Inputs!B12+Scenario_Drivers!G4))</f>
        <v>2697147.946</v>
      </c>
      <c r="C12" s="9">
        <f>C11*(1-(Inputs!B13+Scenario_Drivers!H4))</f>
        <v>1582345.674</v>
      </c>
      <c r="D12" s="9">
        <f>D11*(1+(Inputs!B14+Scenario_Drivers!I4))</f>
        <v>611975.5603</v>
      </c>
      <c r="E12" s="17">
        <f t="shared" si="1"/>
        <v>0.3867521305</v>
      </c>
      <c r="F12" s="9" t="s">
        <v>72</v>
      </c>
      <c r="G12" s="9">
        <f>F12*Inputs!B33-Inputs!B32*Scenario_Drivers!F4</f>
        <v>0</v>
      </c>
      <c r="H12" s="9">
        <f>H11*(1-(Inputs!B12+Scenario_Drivers!G5))+L12</f>
        <v>2718652.614</v>
      </c>
      <c r="I12" s="9">
        <f>I11*(1-(Inputs!B13+Scenario_Drivers!H5))+L12+Inputs!B26*Scenario_Drivers!E5</f>
        <v>1607005.596</v>
      </c>
      <c r="J12" s="9">
        <f>J11*(1+(Inputs!B14+Scenario_Drivers!I5))</f>
        <v>611975.5603</v>
      </c>
      <c r="K12" s="17">
        <f t="shared" si="2"/>
        <v>0.3808173176</v>
      </c>
      <c r="L12" s="9">
        <f>((Inputs!B21+Inputs!B22+Inputs!B23)*Scenario_Drivers!B5)*(Inputs!B24*Scenario_Drivers!C5)-(Inputs!B25*Scenario_Drivers!D5)</f>
        <v>2770</v>
      </c>
      <c r="M12" s="9">
        <f>L12*Inputs!B33 + Inputs!B26*Scenario_Drivers!E5*(Inputs!B30*Inputs!B31) - Inputs!B32*Scenario_Drivers!F5</f>
        <v>166204404000</v>
      </c>
      <c r="N12" s="9">
        <f>N11*(1-(Inputs!B12+Scenario_Drivers!G6))+R12</f>
        <v>2730844.868</v>
      </c>
      <c r="O12" s="9">
        <f>O11*(1-(Inputs!B13+Scenario_Drivers!H6))+R12+Inputs!B26*Scenario_Drivers!E6</f>
        <v>1619722.113</v>
      </c>
      <c r="P12" s="9">
        <f>P11*(1+(Inputs!B14+Scenario_Drivers!I6))</f>
        <v>611975.5603</v>
      </c>
      <c r="Q12" s="17">
        <f t="shared" si="3"/>
        <v>0.3778275024</v>
      </c>
      <c r="R12" s="9">
        <f>((Inputs!B21+Inputs!B22+Inputs!B23)*Scenario_Drivers!B6)*(Inputs!B24*Scenario_Drivers!C6)-(Inputs!B25*Scenario_Drivers!D6)</f>
        <v>4340.475</v>
      </c>
      <c r="S12" s="9">
        <f>R12*Inputs!B33 + Inputs!B26*Scenario_Drivers!E6*(Inputs!B30*Inputs!B31) - Inputs!B32*Scenario_Drivers!F6</f>
        <v>260433785400</v>
      </c>
      <c r="T12" s="9">
        <f>T11*(1-(Inputs!B12+Scenario_Drivers!G7))+X12</f>
        <v>2660456.66</v>
      </c>
      <c r="U12" s="9">
        <f>U11*(1-(Inputs!B13+Scenario_Drivers!H7))+X12+Inputs!B26*Scenario_Drivers!E7</f>
        <v>1571729.948</v>
      </c>
      <c r="V12" s="9">
        <f>V11*(1+(Inputs!B14+Scenario_Drivers!I7))</f>
        <v>614400.6485</v>
      </c>
      <c r="W12" s="17">
        <f t="shared" si="4"/>
        <v>0.3909072607</v>
      </c>
      <c r="X12" s="9">
        <f>((Inputs!B21+Inputs!B22+Inputs!B23)*Scenario_Drivers!B7)*(Inputs!B24*Scenario_Drivers!C7)-(Inputs!B25*Scenario_Drivers!D7)</f>
        <v>847.15</v>
      </c>
      <c r="Y12" s="9">
        <f>X12*Inputs!B33 + Inputs!B26*Scenario_Drivers!E7*(Inputs!B30*Inputs!B31) - Inputs!B32*Scenario_Drivers!F7</f>
        <v>50831640600</v>
      </c>
    </row>
    <row r="13">
      <c r="A13" s="14">
        <v>2034.0</v>
      </c>
      <c r="B13" s="9">
        <f>B12*(1-(Inputs!B12+Scenario_Drivers!G4))</f>
        <v>2673964.488</v>
      </c>
      <c r="C13" s="9">
        <f>C12*(1-(Inputs!B13+Scenario_Drivers!H4))</f>
        <v>1562551.278</v>
      </c>
      <c r="D13" s="9">
        <f>D12*(1+(Inputs!B14+Scenario_Drivers!I4))</f>
        <v>618802.8925</v>
      </c>
      <c r="E13" s="17">
        <f t="shared" si="1"/>
        <v>0.3960208547</v>
      </c>
      <c r="F13" s="9" t="s">
        <v>72</v>
      </c>
      <c r="G13" s="9">
        <f>F13*Inputs!B33-Inputs!B32*Scenario_Drivers!F4</f>
        <v>0</v>
      </c>
      <c r="H13" s="9">
        <f>H12*(1-(Inputs!B12+Scenario_Drivers!G5))+L13</f>
        <v>2698054.312</v>
      </c>
      <c r="I13" s="9">
        <f>I12*(1-(Inputs!B13+Scenario_Drivers!H5))+L13+Inputs!B26*Scenario_Drivers!E5</f>
        <v>1590122.716</v>
      </c>
      <c r="J13" s="9">
        <f>J12*(1+(Inputs!B14+Scenario_Drivers!I5))</f>
        <v>618802.8925</v>
      </c>
      <c r="K13" s="17">
        <f t="shared" si="2"/>
        <v>0.3891541743</v>
      </c>
      <c r="L13" s="9">
        <f>((Inputs!B21+Inputs!B22+Inputs!B23)*Scenario_Drivers!B5)*(Inputs!B24*Scenario_Drivers!C5)-(Inputs!B25*Scenario_Drivers!D5)</f>
        <v>2770</v>
      </c>
      <c r="M13" s="9">
        <f>L13*Inputs!B33 + Inputs!B26*Scenario_Drivers!E5*(Inputs!B30*Inputs!B31) - Inputs!B32*Scenario_Drivers!F5</f>
        <v>166204404000</v>
      </c>
      <c r="N13" s="9">
        <f>N12*(1-(Inputs!B12+Scenario_Drivers!G6))+R13</f>
        <v>2711712.241</v>
      </c>
      <c r="O13" s="9">
        <f>O12*(1-(Inputs!B13+Scenario_Drivers!H6))+R13+Inputs!B26*Scenario_Drivers!E6</f>
        <v>1604340.63</v>
      </c>
      <c r="P13" s="9">
        <f>P12*(1+(Inputs!B14+Scenario_Drivers!I6))</f>
        <v>618802.8925</v>
      </c>
      <c r="Q13" s="17">
        <f t="shared" si="3"/>
        <v>0.38570543</v>
      </c>
      <c r="R13" s="9">
        <f>((Inputs!B21+Inputs!B22+Inputs!B23)*Scenario_Drivers!B6)*(Inputs!B24*Scenario_Drivers!C6)-(Inputs!B25*Scenario_Drivers!D6)</f>
        <v>4340.475</v>
      </c>
      <c r="S13" s="9">
        <f>R13*Inputs!B33 + Inputs!B26*Scenario_Drivers!E6*(Inputs!B30*Inputs!B31) - Inputs!B32*Scenario_Drivers!F6</f>
        <v>260433785400</v>
      </c>
      <c r="T13" s="9">
        <f>T12*(1-(Inputs!B12+Scenario_Drivers!G7))+X13</f>
        <v>2633114.82</v>
      </c>
      <c r="U13" s="9">
        <f>U12*(1-(Inputs!B13+Scenario_Drivers!H7))+X13+Inputs!B26*Scenario_Drivers!E7</f>
        <v>1550827.905</v>
      </c>
      <c r="V13" s="9">
        <f>V12*(1+(Inputs!B14+Scenario_Drivers!I7))</f>
        <v>621562.2359</v>
      </c>
      <c r="W13" s="17">
        <f t="shared" si="4"/>
        <v>0.4007938172</v>
      </c>
      <c r="X13" s="9">
        <f>((Inputs!B21+Inputs!B22+Inputs!B23)*Scenario_Drivers!B7)*(Inputs!B24*Scenario_Drivers!C7)-(Inputs!B25*Scenario_Drivers!D7)</f>
        <v>847.15</v>
      </c>
      <c r="Y13" s="9">
        <f>X13*Inputs!B33 + Inputs!B26*Scenario_Drivers!E7*(Inputs!B30*Inputs!B31) - Inputs!B32*Scenario_Drivers!F7</f>
        <v>50831640600</v>
      </c>
    </row>
    <row r="14">
      <c r="A14" s="14">
        <v>2035.0</v>
      </c>
      <c r="B14" s="9">
        <f>B13*(1-(Inputs!B12+Scenario_Drivers!G4))</f>
        <v>2650980.304</v>
      </c>
      <c r="C14" s="9">
        <f>C13*(1-(Inputs!B13+Scenario_Drivers!H4))</f>
        <v>1543004.5</v>
      </c>
      <c r="D14" s="9">
        <f>D13*(1+(Inputs!B14+Scenario_Drivers!I4))</f>
        <v>625706.3919</v>
      </c>
      <c r="E14" s="17">
        <f t="shared" si="1"/>
        <v>0.405511709</v>
      </c>
      <c r="F14" s="9" t="s">
        <v>72</v>
      </c>
      <c r="G14" s="9">
        <f>F14*Inputs!B33-Inputs!B32*Scenario_Drivers!F4</f>
        <v>0</v>
      </c>
      <c r="H14" s="9">
        <f>H13*(1-(Inputs!B12+Scenario_Drivers!G5))+L14</f>
        <v>2677633.062</v>
      </c>
      <c r="I14" s="9">
        <f>I13*(1-(Inputs!B13+Scenario_Drivers!H5))+L14+Inputs!B26*Scenario_Drivers!E5</f>
        <v>1573451.033</v>
      </c>
      <c r="J14" s="9">
        <f>J13*(1+(Inputs!B14+Scenario_Drivers!I5))</f>
        <v>625706.3919</v>
      </c>
      <c r="K14" s="17">
        <f t="shared" si="2"/>
        <v>0.3976649917</v>
      </c>
      <c r="L14" s="9">
        <f>((Inputs!B21+Inputs!B22+Inputs!B23)*Scenario_Drivers!B5)*(Inputs!B24*Scenario_Drivers!C5)-(Inputs!B25*Scenario_Drivers!D5)</f>
        <v>2770</v>
      </c>
      <c r="M14" s="9">
        <f>L14*Inputs!B33 + Inputs!B26*Scenario_Drivers!E5*(Inputs!B30*Inputs!B31) - Inputs!B32*Scenario_Drivers!F5</f>
        <v>166204404000</v>
      </c>
      <c r="N14" s="9">
        <f>N13*(1-(Inputs!B12+Scenario_Drivers!G6))+R14</f>
        <v>2692744.07</v>
      </c>
      <c r="O14" s="9">
        <f>O13*(1-(Inputs!B13+Scenario_Drivers!H6))+R14+Inputs!B26*Scenario_Drivers!E6</f>
        <v>1589151.563</v>
      </c>
      <c r="P14" s="9">
        <f>P13*(1+(Inputs!B14+Scenario_Drivers!I6))</f>
        <v>625706.3919</v>
      </c>
      <c r="Q14" s="17">
        <f t="shared" si="3"/>
        <v>0.3937361335</v>
      </c>
      <c r="R14" s="9">
        <f>((Inputs!B21+Inputs!B22+Inputs!B23)*Scenario_Drivers!B6)*(Inputs!B24*Scenario_Drivers!C6)-(Inputs!B25*Scenario_Drivers!D6)</f>
        <v>4340.475</v>
      </c>
      <c r="S14" s="9">
        <f>R14*Inputs!B33 + Inputs!B26*Scenario_Drivers!E6*(Inputs!B30*Inputs!B31) - Inputs!B32*Scenario_Drivers!F6</f>
        <v>260433785400</v>
      </c>
      <c r="T14" s="9">
        <f>T13*(1-(Inputs!B12+Scenario_Drivers!G7))+X14</f>
        <v>2606062.681</v>
      </c>
      <c r="U14" s="9">
        <f>U13*(1-(Inputs!B13+Scenario_Drivers!H7))+X14+Inputs!B26*Scenario_Drivers!E7</f>
        <v>1530218.69</v>
      </c>
      <c r="V14" s="9">
        <f>V13*(1+(Inputs!B14+Scenario_Drivers!I7))</f>
        <v>628807.3002</v>
      </c>
      <c r="W14" s="17">
        <f t="shared" si="4"/>
        <v>0.410926428</v>
      </c>
      <c r="X14" s="9">
        <f>((Inputs!B21+Inputs!B22+Inputs!B23)*Scenario_Drivers!B7)*(Inputs!B24*Scenario_Drivers!C7)-(Inputs!B25*Scenario_Drivers!D7)</f>
        <v>847.15</v>
      </c>
      <c r="Y14" s="9">
        <f>X14*Inputs!B33 + Inputs!B26*Scenario_Drivers!E7*(Inputs!B30*Inputs!B31) - Inputs!B32*Scenario_Drivers!F7</f>
        <v>50831640600</v>
      </c>
    </row>
    <row r="15">
      <c r="A15" s="14">
        <v>2036.0</v>
      </c>
      <c r="B15" s="9">
        <f>B14*(1-(Inputs!B12+Scenario_Drivers!G4))</f>
        <v>2628193.682</v>
      </c>
      <c r="C15" s="9">
        <f>C14*(1-(Inputs!B13+Scenario_Drivers!H4))</f>
        <v>1523702.244</v>
      </c>
      <c r="D15" s="9">
        <f>D14*(1+(Inputs!B14+Scenario_Drivers!I4))</f>
        <v>632686.9083</v>
      </c>
      <c r="E15" s="17">
        <f t="shared" si="1"/>
        <v>0.4152300167</v>
      </c>
      <c r="F15" s="9" t="s">
        <v>72</v>
      </c>
      <c r="G15" s="9">
        <f>F15*Inputs!B33-Inputs!B32*Scenario_Drivers!F4</f>
        <v>0</v>
      </c>
      <c r="H15" s="9">
        <f>H14*(1-(Inputs!B12+Scenario_Drivers!G5))+L15</f>
        <v>2657387.345</v>
      </c>
      <c r="I15" s="9">
        <f>I14*(1-(Inputs!B13+Scenario_Drivers!H5))+L15+Inputs!B26*Scenario_Drivers!E5</f>
        <v>1556987.905</v>
      </c>
      <c r="J15" s="9">
        <f>J14*(1+(Inputs!B14+Scenario_Drivers!I5))</f>
        <v>632686.9083</v>
      </c>
      <c r="K15" s="17">
        <f t="shared" si="2"/>
        <v>0.4063531299</v>
      </c>
      <c r="L15" s="9">
        <f>((Inputs!B21+Inputs!B22+Inputs!B23)*Scenario_Drivers!B5)*(Inputs!B24*Scenario_Drivers!C5)-(Inputs!B25*Scenario_Drivers!D5)</f>
        <v>2770</v>
      </c>
      <c r="M15" s="9">
        <f>L15*Inputs!B33 + Inputs!B26*Scenario_Drivers!E5*(Inputs!B30*Inputs!B31) - Inputs!B32*Scenario_Drivers!F5</f>
        <v>166204404000</v>
      </c>
      <c r="N15" s="9">
        <f>N14*(1-(Inputs!B12+Scenario_Drivers!G6))+R15</f>
        <v>2673938.94</v>
      </c>
      <c r="O15" s="9">
        <f>O14*(1-(Inputs!B13+Scenario_Drivers!H6))+R15+Inputs!B26*Scenario_Drivers!E6</f>
        <v>1574152.503</v>
      </c>
      <c r="P15" s="9">
        <f>P14*(1+(Inputs!B14+Scenario_Drivers!I6))</f>
        <v>632686.9083</v>
      </c>
      <c r="Q15" s="17">
        <f t="shared" si="3"/>
        <v>0.4019222451</v>
      </c>
      <c r="R15" s="9">
        <f>((Inputs!B21+Inputs!B22+Inputs!B23)*Scenario_Drivers!B6)*(Inputs!B24*Scenario_Drivers!C6)-(Inputs!B25*Scenario_Drivers!D6)</f>
        <v>4340.475</v>
      </c>
      <c r="S15" s="9">
        <f>R15*Inputs!B33 + Inputs!B26*Scenario_Drivers!E6*(Inputs!B30*Inputs!B31) - Inputs!B32*Scenario_Drivers!F6</f>
        <v>260433785400</v>
      </c>
      <c r="T15" s="9">
        <f>T14*(1-(Inputs!B12+Scenario_Drivers!G7))+X15</f>
        <v>2579297.175</v>
      </c>
      <c r="U15" s="9">
        <f>U14*(1-(Inputs!B13+Scenario_Drivers!H7))+X15+Inputs!B26*Scenario_Drivers!E7</f>
        <v>1509898.2</v>
      </c>
      <c r="V15" s="9">
        <f>V14*(1+(Inputs!B14+Scenario_Drivers!I7))</f>
        <v>636136.8146</v>
      </c>
      <c r="W15" s="17">
        <f t="shared" si="4"/>
        <v>0.4213110623</v>
      </c>
      <c r="X15" s="9">
        <f>((Inputs!B21+Inputs!B22+Inputs!B23)*Scenario_Drivers!B7)*(Inputs!B24*Scenario_Drivers!C7)-(Inputs!B25*Scenario_Drivers!D7)</f>
        <v>847.15</v>
      </c>
      <c r="Y15" s="9">
        <f>X15*Inputs!B33 + Inputs!B26*Scenario_Drivers!E7*(Inputs!B30*Inputs!B31) - Inputs!B32*Scenario_Drivers!F7</f>
        <v>50831640600</v>
      </c>
    </row>
    <row r="16">
      <c r="A16" s="14">
        <v>2037.0</v>
      </c>
      <c r="B16" s="9">
        <f>B15*(1-(Inputs!B12+Scenario_Drivers!G4))</f>
        <v>2605602.923</v>
      </c>
      <c r="C16" s="9">
        <f>C15*(1-(Inputs!B13+Scenario_Drivers!H4))</f>
        <v>1504641.45</v>
      </c>
      <c r="D16" s="9">
        <f>D15*(1+(Inputs!B14+Scenario_Drivers!I4))</f>
        <v>639745.3008</v>
      </c>
      <c r="E16" s="17">
        <f t="shared" si="1"/>
        <v>0.425181229</v>
      </c>
      <c r="F16" s="9" t="s">
        <v>72</v>
      </c>
      <c r="G16" s="9">
        <f>F16*Inputs!B33-Inputs!B32*Scenario_Drivers!F4</f>
        <v>0</v>
      </c>
      <c r="H16" s="9">
        <f>H15*(1-(Inputs!B12+Scenario_Drivers!G5))+L16</f>
        <v>2637315.651</v>
      </c>
      <c r="I16" s="9">
        <f>I15*(1-(Inputs!B13+Scenario_Drivers!H5))+L16+Inputs!B26*Scenario_Drivers!E5</f>
        <v>1540730.723</v>
      </c>
      <c r="J16" s="9">
        <f>J15*(1+(Inputs!B14+Scenario_Drivers!I5))</f>
        <v>639745.3008</v>
      </c>
      <c r="K16" s="17">
        <f t="shared" si="2"/>
        <v>0.4152220056</v>
      </c>
      <c r="L16" s="9">
        <f>((Inputs!B21+Inputs!B22+Inputs!B23)*Scenario_Drivers!B5)*(Inputs!B24*Scenario_Drivers!C5)-(Inputs!B25*Scenario_Drivers!D5)</f>
        <v>2770</v>
      </c>
      <c r="M16" s="9">
        <f>L16*Inputs!B33 + Inputs!B26*Scenario_Drivers!E5*(Inputs!B30*Inputs!B31) - Inputs!B32*Scenario_Drivers!F5</f>
        <v>166204404000</v>
      </c>
      <c r="N16" s="9">
        <f>N15*(1-(Inputs!B12+Scenario_Drivers!G6))+R16</f>
        <v>2655295.451</v>
      </c>
      <c r="O16" s="9">
        <f>O15*(1-(Inputs!B13+Scenario_Drivers!H6))+R16+Inputs!B26*Scenario_Drivers!E6</f>
        <v>1559341.075</v>
      </c>
      <c r="P16" s="9">
        <f>P15*(1+(Inputs!B14+Scenario_Drivers!I6))</f>
        <v>639745.3008</v>
      </c>
      <c r="Q16" s="17">
        <f t="shared" si="3"/>
        <v>0.410266433</v>
      </c>
      <c r="R16" s="9">
        <f>((Inputs!B21+Inputs!B22+Inputs!B23)*Scenario_Drivers!B6)*(Inputs!B24*Scenario_Drivers!C6)-(Inputs!B25*Scenario_Drivers!D6)</f>
        <v>4340.475</v>
      </c>
      <c r="S16" s="9">
        <f>R16*Inputs!B33 + Inputs!B26*Scenario_Drivers!E6*(Inputs!B30*Inputs!B31) - Inputs!B32*Scenario_Drivers!F6</f>
        <v>260433785400</v>
      </c>
      <c r="T16" s="9">
        <f>T15*(1-(Inputs!B12+Scenario_Drivers!G7))+X16</f>
        <v>2552815.264</v>
      </c>
      <c r="U16" s="9">
        <f>U15*(1-(Inputs!B13+Scenario_Drivers!H7))+X16+Inputs!B26*Scenario_Drivers!E7</f>
        <v>1489862.39</v>
      </c>
      <c r="V16" s="9">
        <f>V15*(1+(Inputs!B14+Scenario_Drivers!I7))</f>
        <v>643551.7634</v>
      </c>
      <c r="W16" s="17">
        <f t="shared" si="4"/>
        <v>0.4319538285</v>
      </c>
      <c r="X16" s="9">
        <f>((Inputs!B21+Inputs!B22+Inputs!B23)*Scenario_Drivers!B7)*(Inputs!B24*Scenario_Drivers!C7)-(Inputs!B25*Scenario_Drivers!D7)</f>
        <v>847.15</v>
      </c>
      <c r="Y16" s="9">
        <f>X16*Inputs!B33 + Inputs!B26*Scenario_Drivers!E7*(Inputs!B30*Inputs!B31) - Inputs!B32*Scenario_Drivers!F7</f>
        <v>50831640600</v>
      </c>
    </row>
    <row r="17">
      <c r="A17" s="14">
        <v>2038.0</v>
      </c>
      <c r="B17" s="9">
        <f>B16*(1-(Inputs!B12+Scenario_Drivers!G4))</f>
        <v>2583206.344</v>
      </c>
      <c r="C17" s="9">
        <f>C16*(1-(Inputs!B13+Scenario_Drivers!H4))</f>
        <v>1485819.097</v>
      </c>
      <c r="D17" s="9">
        <f>D16*(1+(Inputs!B14+Scenario_Drivers!I4))</f>
        <v>646882.4382</v>
      </c>
      <c r="E17" s="17">
        <f t="shared" si="1"/>
        <v>0.4353709274</v>
      </c>
      <c r="F17" s="9" t="s">
        <v>72</v>
      </c>
      <c r="G17" s="9">
        <f>F17*Inputs!B33-Inputs!B32*Scenario_Drivers!F4</f>
        <v>0</v>
      </c>
      <c r="H17" s="9">
        <f>H16*(1-(Inputs!B12+Scenario_Drivers!G5))+L17</f>
        <v>2617416.484</v>
      </c>
      <c r="I17" s="9">
        <f>I16*(1-(Inputs!B13+Scenario_Drivers!H5))+L17+Inputs!B26*Scenario_Drivers!E5</f>
        <v>1524676.91</v>
      </c>
      <c r="J17" s="9">
        <f>J16*(1+(Inputs!B14+Scenario_Drivers!I5))</f>
        <v>646882.4382</v>
      </c>
      <c r="K17" s="17">
        <f t="shared" si="2"/>
        <v>0.4242750932</v>
      </c>
      <c r="L17" s="9">
        <f>((Inputs!B21+Inputs!B22+Inputs!B23)*Scenario_Drivers!B5)*(Inputs!B24*Scenario_Drivers!C5)-(Inputs!B25*Scenario_Drivers!D5)</f>
        <v>2770</v>
      </c>
      <c r="M17" s="9">
        <f>L17*Inputs!B33 + Inputs!B26*Scenario_Drivers!E5*(Inputs!B30*Inputs!B31) - Inputs!B32*Scenario_Drivers!F5</f>
        <v>166204404000</v>
      </c>
      <c r="N17" s="9">
        <f>N16*(1-(Inputs!B12+Scenario_Drivers!G6))+R17</f>
        <v>2636812.213</v>
      </c>
      <c r="O17" s="9">
        <f>O16*(1-(Inputs!B13+Scenario_Drivers!H6))+R17+Inputs!B26*Scenario_Drivers!E6</f>
        <v>1544714.931</v>
      </c>
      <c r="P17" s="9">
        <f>P16*(1+(Inputs!B14+Scenario_Drivers!I6))</f>
        <v>646882.4382</v>
      </c>
      <c r="Q17" s="17">
        <f t="shared" si="3"/>
        <v>0.4187714025</v>
      </c>
      <c r="R17" s="9">
        <f>((Inputs!B21+Inputs!B22+Inputs!B23)*Scenario_Drivers!B6)*(Inputs!B24*Scenario_Drivers!C6)-(Inputs!B25*Scenario_Drivers!D6)</f>
        <v>4340.475</v>
      </c>
      <c r="S17" s="9">
        <f>R17*Inputs!B33 + Inputs!B26*Scenario_Drivers!E6*(Inputs!B30*Inputs!B31) - Inputs!B32*Scenario_Drivers!F6</f>
        <v>260433785400</v>
      </c>
      <c r="T17" s="9">
        <f>T16*(1-(Inputs!B12+Scenario_Drivers!G7))+X17</f>
        <v>2526613.943</v>
      </c>
      <c r="U17" s="9">
        <f>U16*(1-(Inputs!B13+Scenario_Drivers!H7))+X17+Inputs!B26*Scenario_Drivers!E7</f>
        <v>1470107.273</v>
      </c>
      <c r="V17" s="9">
        <f>V16*(1+(Inputs!B14+Scenario_Drivers!I7))</f>
        <v>651053.1425</v>
      </c>
      <c r="W17" s="17">
        <f t="shared" si="4"/>
        <v>0.4428609765</v>
      </c>
      <c r="X17" s="9">
        <f>((Inputs!B21+Inputs!B22+Inputs!B23)*Scenario_Drivers!B7)*(Inputs!B24*Scenario_Drivers!C7)-(Inputs!B25*Scenario_Drivers!D7)</f>
        <v>847.15</v>
      </c>
      <c r="Y17" s="9">
        <f>X17*Inputs!B33 + Inputs!B26*Scenario_Drivers!E7*(Inputs!B30*Inputs!B31) - Inputs!B32*Scenario_Drivers!F7</f>
        <v>50831640600</v>
      </c>
    </row>
    <row r="18">
      <c r="A18" s="14">
        <v>2039.0</v>
      </c>
      <c r="B18" s="9">
        <f>B17*(1-(Inputs!B12+Scenario_Drivers!G4))</f>
        <v>2561002.276</v>
      </c>
      <c r="C18" s="9">
        <f>C17*(1-(Inputs!B13+Scenario_Drivers!H4))</f>
        <v>1467232.203</v>
      </c>
      <c r="D18" s="9">
        <f>D17*(1+(Inputs!B14+Scenario_Drivers!I4))</f>
        <v>654099.1991</v>
      </c>
      <c r="E18" s="17">
        <f t="shared" si="1"/>
        <v>0.4458048275</v>
      </c>
      <c r="F18" s="9" t="s">
        <v>72</v>
      </c>
      <c r="G18" s="9">
        <f>F18*Inputs!B33-Inputs!B32*Scenario_Drivers!F4</f>
        <v>0</v>
      </c>
      <c r="H18" s="9">
        <f>H17*(1-(Inputs!B12+Scenario_Drivers!G5))+L18</f>
        <v>2597688.361</v>
      </c>
      <c r="I18" s="9">
        <f>I17*(1-(Inputs!B13+Scenario_Drivers!H5))+L18+Inputs!B26*Scenario_Drivers!E5</f>
        <v>1508823.923</v>
      </c>
      <c r="J18" s="9">
        <f>J17*(1+(Inputs!B14+Scenario_Drivers!I5))</f>
        <v>654099.1991</v>
      </c>
      <c r="K18" s="17">
        <f t="shared" si="2"/>
        <v>0.4335159252</v>
      </c>
      <c r="L18" s="9">
        <f>((Inputs!B21+Inputs!B22+Inputs!B23)*Scenario_Drivers!B5)*(Inputs!B24*Scenario_Drivers!C5)-(Inputs!B25*Scenario_Drivers!D5)</f>
        <v>2770</v>
      </c>
      <c r="M18" s="9">
        <f>L18*Inputs!B33 + Inputs!B26*Scenario_Drivers!E5*(Inputs!B30*Inputs!B31) - Inputs!B32*Scenario_Drivers!F5</f>
        <v>166204404000</v>
      </c>
      <c r="N18" s="9">
        <f>N17*(1-(Inputs!B12+Scenario_Drivers!G6))+R18</f>
        <v>2618487.848</v>
      </c>
      <c r="O18" s="9">
        <f>O17*(1-(Inputs!B13+Scenario_Drivers!H6))+R18+Inputs!B26*Scenario_Drivers!E6</f>
        <v>1530271.753</v>
      </c>
      <c r="P18" s="9">
        <f>P17*(1+(Inputs!B14+Scenario_Drivers!I6))</f>
        <v>654099.1991</v>
      </c>
      <c r="Q18" s="17">
        <f t="shared" si="3"/>
        <v>0.4274398961</v>
      </c>
      <c r="R18" s="9">
        <f>((Inputs!B21+Inputs!B22+Inputs!B23)*Scenario_Drivers!B6)*(Inputs!B24*Scenario_Drivers!C6)-(Inputs!B25*Scenario_Drivers!D6)</f>
        <v>4340.475</v>
      </c>
      <c r="S18" s="9">
        <f>R18*Inputs!B33 + Inputs!B26*Scenario_Drivers!E6*(Inputs!B30*Inputs!B31) - Inputs!B32*Scenario_Drivers!F6</f>
        <v>260433785400</v>
      </c>
      <c r="T18" s="9">
        <f>T17*(1-(Inputs!B12+Scenario_Drivers!G7))+X18</f>
        <v>2500690.24</v>
      </c>
      <c r="U18" s="9">
        <f>U17*(1-(Inputs!B13+Scenario_Drivers!H7))+X18+Inputs!B26*Scenario_Drivers!E7</f>
        <v>1450628.916</v>
      </c>
      <c r="V18" s="9">
        <f>V17*(1+(Inputs!B14+Scenario_Drivers!I7))</f>
        <v>658641.9592</v>
      </c>
      <c r="W18" s="17">
        <f t="shared" si="4"/>
        <v>0.4540389014</v>
      </c>
      <c r="X18" s="9">
        <f>((Inputs!B21+Inputs!B22+Inputs!B23)*Scenario_Drivers!B7)*(Inputs!B24*Scenario_Drivers!C7)-(Inputs!B25*Scenario_Drivers!D7)</f>
        <v>847.15</v>
      </c>
      <c r="Y18" s="9">
        <f>X18*Inputs!B33 + Inputs!B26*Scenario_Drivers!E7*(Inputs!B30*Inputs!B31) - Inputs!B32*Scenario_Drivers!F7</f>
        <v>50831640600</v>
      </c>
    </row>
    <row r="19">
      <c r="A19" s="14">
        <v>2040.0</v>
      </c>
      <c r="B19" s="9">
        <f>B18*(1-(Inputs!B12+Scenario_Drivers!G4))</f>
        <v>2538989.064</v>
      </c>
      <c r="C19" s="9">
        <f>C18*(1-(Inputs!B13+Scenario_Drivers!H4))</f>
        <v>1448877.822</v>
      </c>
      <c r="D19" s="9">
        <f>D18*(1+(Inputs!B14+Scenario_Drivers!I4))</f>
        <v>661396.4718</v>
      </c>
      <c r="E19" s="17">
        <f t="shared" si="1"/>
        <v>0.4564887816</v>
      </c>
      <c r="F19" s="9" t="s">
        <v>72</v>
      </c>
      <c r="G19" s="9">
        <f>F19*Inputs!B33-Inputs!B32*Scenario_Drivers!F4</f>
        <v>0</v>
      </c>
      <c r="H19" s="9">
        <f>H18*(1-(Inputs!B12+Scenario_Drivers!G5))+L19</f>
        <v>2578129.812</v>
      </c>
      <c r="I19" s="9">
        <f>I18*(1-(Inputs!B13+Scenario_Drivers!H5))+L19+Inputs!B26*Scenario_Drivers!E5</f>
        <v>1493169.25</v>
      </c>
      <c r="J19" s="9">
        <f>J18*(1+(Inputs!B14+Scenario_Drivers!I5))</f>
        <v>661396.4718</v>
      </c>
      <c r="K19" s="17">
        <f t="shared" si="2"/>
        <v>0.4429480931</v>
      </c>
      <c r="L19" s="9">
        <f>((Inputs!B21+Inputs!B22+Inputs!B23)*Scenario_Drivers!B5)*(Inputs!B24*Scenario_Drivers!C5)-(Inputs!B25*Scenario_Drivers!D5)</f>
        <v>2770</v>
      </c>
      <c r="M19" s="9">
        <f>L19*Inputs!B33 + Inputs!B26*Scenario_Drivers!E5*(Inputs!B30*Inputs!B31) - Inputs!B32*Scenario_Drivers!F5</f>
        <v>166204404000</v>
      </c>
      <c r="N19" s="9">
        <f>N18*(1-(Inputs!B12+Scenario_Drivers!G6))+R19</f>
        <v>2600320.991</v>
      </c>
      <c r="O19" s="9">
        <f>O18*(1-(Inputs!B13+Scenario_Drivers!H6))+R19+Inputs!B26*Scenario_Drivers!E6</f>
        <v>1516009.252</v>
      </c>
      <c r="P19" s="9">
        <f>P18*(1+(Inputs!B14+Scenario_Drivers!I6))</f>
        <v>661396.4718</v>
      </c>
      <c r="Q19" s="17">
        <f t="shared" si="3"/>
        <v>0.4362746934</v>
      </c>
      <c r="R19" s="9">
        <f>((Inputs!B21+Inputs!B22+Inputs!B23)*Scenario_Drivers!B6)*(Inputs!B24*Scenario_Drivers!C6)-(Inputs!B25*Scenario_Drivers!D6)</f>
        <v>4340.475</v>
      </c>
      <c r="S19" s="9">
        <f>R19*Inputs!B33 + Inputs!B26*Scenario_Drivers!E6*(Inputs!B30*Inputs!B31) - Inputs!B32*Scenario_Drivers!F6</f>
        <v>260433785400</v>
      </c>
      <c r="T19" s="9">
        <f>T18*(1-(Inputs!B12+Scenario_Drivers!G7))+X19</f>
        <v>2475041.212</v>
      </c>
      <c r="U19" s="9">
        <f>U18*(1-(Inputs!B13+Scenario_Drivers!H7))+X19+Inputs!B26*Scenario_Drivers!E7</f>
        <v>1431423.441</v>
      </c>
      <c r="V19" s="9">
        <f>V18*(1+(Inputs!B14+Scenario_Drivers!I7))</f>
        <v>666319.2329</v>
      </c>
      <c r="W19" s="17">
        <f t="shared" si="4"/>
        <v>0.4654941466</v>
      </c>
      <c r="X19" s="9">
        <f>((Inputs!B21+Inputs!B22+Inputs!B23)*Scenario_Drivers!B7)*(Inputs!B24*Scenario_Drivers!C7)-(Inputs!B25*Scenario_Drivers!D7)</f>
        <v>847.15</v>
      </c>
      <c r="Y19" s="9">
        <f>X19*Inputs!B33 + Inputs!B26*Scenario_Drivers!E7*(Inputs!B30*Inputs!B31) - Inputs!B32*Scenario_Drivers!F7</f>
        <v>50831640600</v>
      </c>
    </row>
    <row r="20">
      <c r="A20" s="14">
        <v>2041.0</v>
      </c>
      <c r="B20" s="9">
        <f>B19*(1-(Inputs!B12+Scenario_Drivers!G4))</f>
        <v>2517165.067</v>
      </c>
      <c r="C20" s="9">
        <f>C19*(1-(Inputs!B13+Scenario_Drivers!H4))</f>
        <v>1430753.046</v>
      </c>
      <c r="D20" s="9">
        <f>D19*(1+(Inputs!B14+Scenario_Drivers!I4))</f>
        <v>668775.1544</v>
      </c>
      <c r="E20" s="17">
        <f t="shared" si="1"/>
        <v>0.4674287825</v>
      </c>
      <c r="F20" s="9" t="s">
        <v>72</v>
      </c>
      <c r="G20" s="9">
        <f>F20*Inputs!B33-Inputs!B32*Scenario_Drivers!F4</f>
        <v>0</v>
      </c>
      <c r="H20" s="9">
        <f>H19*(1-(Inputs!B12+Scenario_Drivers!G5))+L20</f>
        <v>2558739.379</v>
      </c>
      <c r="I20" s="9">
        <f>I19*(1-(Inputs!B13+Scenario_Drivers!H5))+L20+Inputs!B26*Scenario_Drivers!E5</f>
        <v>1477710.409</v>
      </c>
      <c r="J20" s="9">
        <f>J19*(1+(Inputs!B14+Scenario_Drivers!I5))</f>
        <v>668775.1544</v>
      </c>
      <c r="K20" s="17">
        <f t="shared" si="2"/>
        <v>0.4525752478</v>
      </c>
      <c r="L20" s="9">
        <f>((Inputs!B21+Inputs!B22+Inputs!B23)*Scenario_Drivers!B5)*(Inputs!B24*Scenario_Drivers!C5)-(Inputs!B25*Scenario_Drivers!D5)</f>
        <v>2770</v>
      </c>
      <c r="M20" s="9">
        <f>L20*Inputs!B33 + Inputs!B26*Scenario_Drivers!E5*(Inputs!B30*Inputs!B31) - Inputs!B32*Scenario_Drivers!F5</f>
        <v>166204404000</v>
      </c>
      <c r="N20" s="9">
        <f>N19*(1-(Inputs!B12+Scenario_Drivers!G6))+R20</f>
        <v>2582310.288</v>
      </c>
      <c r="O20" s="9">
        <f>O19*(1-(Inputs!B13+Scenario_Drivers!H6))+R20+Inputs!B26*Scenario_Drivers!E6</f>
        <v>1501925.169</v>
      </c>
      <c r="P20" s="9">
        <f>P19*(1+(Inputs!B14+Scenario_Drivers!I6))</f>
        <v>668775.1544</v>
      </c>
      <c r="Q20" s="17">
        <f t="shared" si="3"/>
        <v>0.445278612</v>
      </c>
      <c r="R20" s="9">
        <f>((Inputs!B21+Inputs!B22+Inputs!B23)*Scenario_Drivers!B6)*(Inputs!B24*Scenario_Drivers!C6)-(Inputs!B25*Scenario_Drivers!D6)</f>
        <v>4340.475</v>
      </c>
      <c r="S20" s="9">
        <f>R20*Inputs!B33 + Inputs!B26*Scenario_Drivers!E6*(Inputs!B30*Inputs!B31) - Inputs!B32*Scenario_Drivers!F6</f>
        <v>260433785400</v>
      </c>
      <c r="T20" s="9">
        <f>T19*(1-(Inputs!B12+Scenario_Drivers!G7))+X20</f>
        <v>2449663.95</v>
      </c>
      <c r="U20" s="9">
        <f>U19*(1-(Inputs!B13+Scenario_Drivers!H7))+X20+Inputs!B26*Scenario_Drivers!E7</f>
        <v>1412487.025</v>
      </c>
      <c r="V20" s="9">
        <f>V19*(1+(Inputs!B14+Scenario_Drivers!I7))</f>
        <v>674085.9945</v>
      </c>
      <c r="W20" s="17">
        <f t="shared" si="4"/>
        <v>0.4772334063</v>
      </c>
      <c r="X20" s="9">
        <f>((Inputs!B21+Inputs!B22+Inputs!B23)*Scenario_Drivers!B7)*(Inputs!B24*Scenario_Drivers!C7)-(Inputs!B25*Scenario_Drivers!D7)</f>
        <v>847.15</v>
      </c>
      <c r="Y20" s="9">
        <f>X20*Inputs!B33 + Inputs!B26*Scenario_Drivers!E7*(Inputs!B30*Inputs!B31) - Inputs!B32*Scenario_Drivers!F7</f>
        <v>50831640600</v>
      </c>
    </row>
    <row r="21" ht="15.75" customHeight="1">
      <c r="A21" s="14">
        <v>2042.0</v>
      </c>
      <c r="B21" s="9">
        <f>B20*(1-(Inputs!B12+Scenario_Drivers!G4))</f>
        <v>2495528.66</v>
      </c>
      <c r="C21" s="9">
        <f>C20*(1-(Inputs!B13+Scenario_Drivers!H4))</f>
        <v>1412855.002</v>
      </c>
      <c r="D21" s="9">
        <f>D20*(1+(Inputs!B14+Scenario_Drivers!I4))</f>
        <v>676236.1552</v>
      </c>
      <c r="E21" s="17">
        <f t="shared" si="1"/>
        <v>0.4786309665</v>
      </c>
      <c r="F21" s="9" t="s">
        <v>72</v>
      </c>
      <c r="G21" s="9">
        <f>F21*Inputs!B33-Inputs!B32*Scenario_Drivers!F4</f>
        <v>0</v>
      </c>
      <c r="H21" s="9">
        <f>H20*(1-(Inputs!B12+Scenario_Drivers!G5))+L21</f>
        <v>2539515.618</v>
      </c>
      <c r="I21" s="9">
        <f>I20*(1-(Inputs!B13+Scenario_Drivers!H5))+L21+Inputs!B26*Scenario_Drivers!E5</f>
        <v>1462444.951</v>
      </c>
      <c r="J21" s="9">
        <f>J20*(1+(Inputs!B14+Scenario_Drivers!I5))</f>
        <v>676236.1552</v>
      </c>
      <c r="K21" s="17">
        <f t="shared" si="2"/>
        <v>0.4624011009</v>
      </c>
      <c r="L21" s="9">
        <f>((Inputs!B21+Inputs!B22+Inputs!B23)*Scenario_Drivers!B5)*(Inputs!B24*Scenario_Drivers!C5)-(Inputs!B25*Scenario_Drivers!D5)</f>
        <v>2770</v>
      </c>
      <c r="M21" s="9">
        <f>L21*Inputs!B33 + Inputs!B26*Scenario_Drivers!E5*(Inputs!B30*Inputs!B31) - Inputs!B32*Scenario_Drivers!F5</f>
        <v>166204404000</v>
      </c>
      <c r="N21" s="9">
        <f>N20*(1-(Inputs!B12+Scenario_Drivers!G6))+R21</f>
        <v>2564454.397</v>
      </c>
      <c r="O21" s="9">
        <f>O20*(1-(Inputs!B13+Scenario_Drivers!H6))+R21+Inputs!B26*Scenario_Drivers!E6</f>
        <v>1488017.27</v>
      </c>
      <c r="P21" s="9">
        <f>P20*(1+(Inputs!B14+Scenario_Drivers!I6))</f>
        <v>676236.1552</v>
      </c>
      <c r="Q21" s="17">
        <f t="shared" si="3"/>
        <v>0.4544545071</v>
      </c>
      <c r="R21" s="9">
        <f>((Inputs!B21+Inputs!B22+Inputs!B23)*Scenario_Drivers!B6)*(Inputs!B24*Scenario_Drivers!C6)-(Inputs!B25*Scenario_Drivers!D6)</f>
        <v>4340.475</v>
      </c>
      <c r="S21" s="9">
        <f>R21*Inputs!B33 + Inputs!B26*Scenario_Drivers!E6*(Inputs!B30*Inputs!B31) - Inputs!B32*Scenario_Drivers!F6</f>
        <v>260433785400</v>
      </c>
      <c r="T21" s="9">
        <f>T20*(1-(Inputs!B12+Scenario_Drivers!G7))+X21</f>
        <v>2424555.574</v>
      </c>
      <c r="U21" s="9">
        <f>U20*(1-(Inputs!B13+Scenario_Drivers!H7))+X21+Inputs!B26*Scenario_Drivers!E7</f>
        <v>1393815.9</v>
      </c>
      <c r="V21" s="9">
        <f>V20*(1+(Inputs!B14+Scenario_Drivers!I7))</f>
        <v>681943.2872</v>
      </c>
      <c r="W21" s="17">
        <f t="shared" si="4"/>
        <v>0.4892635297</v>
      </c>
      <c r="X21" s="9">
        <f>((Inputs!B21+Inputs!B22+Inputs!B23)*Scenario_Drivers!B7)*(Inputs!B24*Scenario_Drivers!C7)-(Inputs!B25*Scenario_Drivers!D7)</f>
        <v>847.15</v>
      </c>
      <c r="Y21" s="9">
        <f>X21*Inputs!B33 + Inputs!B26*Scenario_Drivers!E7*(Inputs!B30*Inputs!B31) - Inputs!B32*Scenario_Drivers!F7</f>
        <v>50831640600</v>
      </c>
    </row>
    <row r="22" ht="15.75" customHeight="1">
      <c r="A22" s="14">
        <v>2043.0</v>
      </c>
      <c r="B22" s="9">
        <f>B21*(1-(Inputs!B12+Scenario_Drivers!G4))</f>
        <v>2474078.229</v>
      </c>
      <c r="C22" s="9">
        <f>C21*(1-(Inputs!B13+Scenario_Drivers!H4))</f>
        <v>1395180.854</v>
      </c>
      <c r="D22" s="9">
        <f>D21*(1+(Inputs!B14+Scenario_Drivers!I4))</f>
        <v>683780.3925</v>
      </c>
      <c r="E22" s="17">
        <f t="shared" si="1"/>
        <v>0.4901016168</v>
      </c>
      <c r="F22" s="9" t="s">
        <v>72</v>
      </c>
      <c r="G22" s="9">
        <f>F22*Inputs!B33-Inputs!B32*Scenario_Drivers!F4</f>
        <v>0</v>
      </c>
      <c r="H22" s="9">
        <f>H21*(1-(Inputs!B12+Scenario_Drivers!G5))+L22</f>
        <v>2520457.095</v>
      </c>
      <c r="I22" s="9">
        <f>I21*(1-(Inputs!B13+Scenario_Drivers!H5))+L22+Inputs!B26*Scenario_Drivers!E5</f>
        <v>1447370.456</v>
      </c>
      <c r="J22" s="9">
        <f>J21*(1+(Inputs!B14+Scenario_Drivers!I5))</f>
        <v>683780.3925</v>
      </c>
      <c r="K22" s="17">
        <f t="shared" si="2"/>
        <v>0.4724294251</v>
      </c>
      <c r="L22" s="9">
        <f>((Inputs!B21+Inputs!B22+Inputs!B23)*Scenario_Drivers!B5)*(Inputs!B24*Scenario_Drivers!C5)-(Inputs!B25*Scenario_Drivers!D5)</f>
        <v>2770</v>
      </c>
      <c r="M22" s="9">
        <f>L22*Inputs!B33 + Inputs!B26*Scenario_Drivers!E5*(Inputs!B30*Inputs!B31) - Inputs!B32*Scenario_Drivers!F5</f>
        <v>166204404000</v>
      </c>
      <c r="N22" s="9">
        <f>N21*(1-(Inputs!B12+Scenario_Drivers!G6))+R22</f>
        <v>2546751.987</v>
      </c>
      <c r="O22" s="9">
        <f>O21*(1-(Inputs!B13+Scenario_Drivers!H6))+R22+Inputs!B26*Scenario_Drivers!E6</f>
        <v>1474283.353</v>
      </c>
      <c r="P22" s="9">
        <f>P21*(1+(Inputs!B14+Scenario_Drivers!I6))</f>
        <v>683780.3925</v>
      </c>
      <c r="Q22" s="17">
        <f t="shared" si="3"/>
        <v>0.4638052726</v>
      </c>
      <c r="R22" s="9">
        <f>((Inputs!B21+Inputs!B22+Inputs!B23)*Scenario_Drivers!B6)*(Inputs!B24*Scenario_Drivers!C6)-(Inputs!B25*Scenario_Drivers!D6)</f>
        <v>4340.475</v>
      </c>
      <c r="S22" s="9">
        <f>R22*Inputs!B33 + Inputs!B26*Scenario_Drivers!E6*(Inputs!B30*Inputs!B31) - Inputs!B32*Scenario_Drivers!F6</f>
        <v>260433785400</v>
      </c>
      <c r="T22" s="9">
        <f>T21*(1-(Inputs!B12+Scenario_Drivers!G7))+X22</f>
        <v>2399713.234</v>
      </c>
      <c r="U22" s="9">
        <f>U21*(1-(Inputs!B13+Scenario_Drivers!H7))+X22+Inputs!B26*Scenario_Drivers!E7</f>
        <v>1375406.349</v>
      </c>
      <c r="V22" s="9">
        <f>V21*(1+(Inputs!B14+Scenario_Drivers!I7))</f>
        <v>689892.1662</v>
      </c>
      <c r="W22" s="17">
        <f t="shared" si="4"/>
        <v>0.5015915236</v>
      </c>
      <c r="X22" s="9">
        <f>((Inputs!B21+Inputs!B22+Inputs!B23)*Scenario_Drivers!B7)*(Inputs!B24*Scenario_Drivers!C7)-(Inputs!B25*Scenario_Drivers!D7)</f>
        <v>847.15</v>
      </c>
      <c r="Y22" s="9">
        <f>X22*Inputs!B33 + Inputs!B26*Scenario_Drivers!E7*(Inputs!B30*Inputs!B31) - Inputs!B32*Scenario_Drivers!F7</f>
        <v>50831640600</v>
      </c>
    </row>
    <row r="23" ht="15.75" customHeight="1">
      <c r="A23" s="14">
        <v>2044.0</v>
      </c>
      <c r="B23" s="9">
        <f>B22*(1-(Inputs!B12+Scenario_Drivers!G4))</f>
        <v>2452812.177</v>
      </c>
      <c r="C23" s="9">
        <f>C22*(1-(Inputs!B13+Scenario_Drivers!H4))</f>
        <v>1377727.802</v>
      </c>
      <c r="D23" s="9">
        <f>D22*(1+(Inputs!B14+Scenario_Drivers!I4))</f>
        <v>691408.795</v>
      </c>
      <c r="E23" s="17">
        <f t="shared" si="1"/>
        <v>0.5018471675</v>
      </c>
      <c r="F23" s="9" t="s">
        <v>72</v>
      </c>
      <c r="G23" s="9">
        <f>F23*Inputs!B33-Inputs!B32*Scenario_Drivers!F4</f>
        <v>0</v>
      </c>
      <c r="H23" s="9">
        <f>H22*(1-(Inputs!B12+Scenario_Drivers!G5))+L23</f>
        <v>2501562.391</v>
      </c>
      <c r="I23" s="9">
        <f>I22*(1-(Inputs!B13+Scenario_Drivers!H5))+L23+Inputs!B26*Scenario_Drivers!E5</f>
        <v>1432484.536</v>
      </c>
      <c r="J23" s="9">
        <f>J22*(1+(Inputs!B14+Scenario_Drivers!I5))</f>
        <v>691408.795</v>
      </c>
      <c r="K23" s="17">
        <f t="shared" si="2"/>
        <v>0.482664055</v>
      </c>
      <c r="L23" s="9">
        <f>((Inputs!B21+Inputs!B22+Inputs!B23)*Scenario_Drivers!B5)*(Inputs!B24*Scenario_Drivers!C5)-(Inputs!B25*Scenario_Drivers!D5)</f>
        <v>2770</v>
      </c>
      <c r="M23" s="9">
        <f>L23*Inputs!B33 + Inputs!B26*Scenario_Drivers!E5*(Inputs!B30*Inputs!B31) - Inputs!B32*Scenario_Drivers!F5</f>
        <v>166204404000</v>
      </c>
      <c r="N23" s="9">
        <f>N22*(1-(Inputs!B12+Scenario_Drivers!G6))+R23</f>
        <v>2529201.739</v>
      </c>
      <c r="O23" s="9">
        <f>O22*(1-(Inputs!B13+Scenario_Drivers!H6))+R23+Inputs!B26*Scenario_Drivers!E6</f>
        <v>1460721.241</v>
      </c>
      <c r="P23" s="9">
        <f>P22*(1+(Inputs!B14+Scenario_Drivers!I6))</f>
        <v>691408.795</v>
      </c>
      <c r="Q23" s="17">
        <f t="shared" si="3"/>
        <v>0.4733338406</v>
      </c>
      <c r="R23" s="9">
        <f>((Inputs!B21+Inputs!B22+Inputs!B23)*Scenario_Drivers!B6)*(Inputs!B24*Scenario_Drivers!C6)-(Inputs!B25*Scenario_Drivers!D6)</f>
        <v>4340.475</v>
      </c>
      <c r="S23" s="9">
        <f>R23*Inputs!B33 + Inputs!B26*Scenario_Drivers!E6*(Inputs!B30*Inputs!B31) - Inputs!B32*Scenario_Drivers!F6</f>
        <v>260433785400</v>
      </c>
      <c r="T23" s="9">
        <f>T22*(1-(Inputs!B12+Scenario_Drivers!G7))+X23</f>
        <v>2375134.113</v>
      </c>
      <c r="U23" s="9">
        <f>U22*(1-(Inputs!B13+Scenario_Drivers!H7))+X23+Inputs!B26*Scenario_Drivers!E7</f>
        <v>1357254.707</v>
      </c>
      <c r="V23" s="9">
        <f>V22*(1+(Inputs!B14+Scenario_Drivers!I7))</f>
        <v>697933.699</v>
      </c>
      <c r="W23" s="17">
        <f t="shared" si="4"/>
        <v>0.5142245561</v>
      </c>
      <c r="X23" s="9">
        <f>((Inputs!B21+Inputs!B22+Inputs!B23)*Scenario_Drivers!B7)*(Inputs!B24*Scenario_Drivers!C7)-(Inputs!B25*Scenario_Drivers!D7)</f>
        <v>847.15</v>
      </c>
      <c r="Y23" s="9">
        <f>X23*Inputs!B33 + Inputs!B26*Scenario_Drivers!E7*(Inputs!B30*Inputs!B31) - Inputs!B32*Scenario_Drivers!F7</f>
        <v>50831640600</v>
      </c>
    </row>
    <row r="24" ht="15.75" customHeight="1">
      <c r="A24" s="14">
        <v>2045.0</v>
      </c>
      <c r="B24" s="9">
        <f>B23*(1-(Inputs!B12+Scenario_Drivers!G4))</f>
        <v>2431728.918</v>
      </c>
      <c r="C24" s="9">
        <f>C23*(1-(Inputs!B13+Scenario_Drivers!H4))</f>
        <v>1360493.079</v>
      </c>
      <c r="D24" s="9">
        <f>D23*(1+(Inputs!B14+Scenario_Drivers!I4))</f>
        <v>699122.3016</v>
      </c>
      <c r="E24" s="17">
        <f t="shared" si="1"/>
        <v>0.5138742067</v>
      </c>
      <c r="F24" s="9" t="s">
        <v>72</v>
      </c>
      <c r="G24" s="9">
        <f>F24*Inputs!B33-Inputs!B32*Scenario_Drivers!F4</f>
        <v>0</v>
      </c>
      <c r="H24" s="9">
        <f>H23*(1-(Inputs!B12+Scenario_Drivers!G5))+L24</f>
        <v>2482830.098</v>
      </c>
      <c r="I24" s="9">
        <f>I23*(1-(Inputs!B13+Scenario_Drivers!H5))+L24+Inputs!B26*Scenario_Drivers!E5</f>
        <v>1417784.832</v>
      </c>
      <c r="J24" s="9">
        <f>J23*(1+(Inputs!B14+Scenario_Drivers!I5))</f>
        <v>699122.3016</v>
      </c>
      <c r="K24" s="17">
        <f t="shared" si="2"/>
        <v>0.4931088876</v>
      </c>
      <c r="L24" s="9">
        <f>((Inputs!B21+Inputs!B22+Inputs!B23)*Scenario_Drivers!B5)*(Inputs!B24*Scenario_Drivers!C5)-(Inputs!B25*Scenario_Drivers!D5)</f>
        <v>2770</v>
      </c>
      <c r="M24" s="9">
        <f>L24*Inputs!B33 + Inputs!B26*Scenario_Drivers!E5*(Inputs!B30*Inputs!B31) - Inputs!B32*Scenario_Drivers!F5</f>
        <v>166204404000</v>
      </c>
      <c r="N24" s="9">
        <f>N23*(1-(Inputs!B12+Scenario_Drivers!G6))+R24</f>
        <v>2511802.345</v>
      </c>
      <c r="O24" s="9">
        <f>O23*(1-(Inputs!B13+Scenario_Drivers!H6))+R24+Inputs!B26*Scenario_Drivers!E6</f>
        <v>1447328.784</v>
      </c>
      <c r="P24" s="9">
        <f>P23*(1+(Inputs!B14+Scenario_Drivers!I6))</f>
        <v>699122.3016</v>
      </c>
      <c r="Q24" s="17">
        <f t="shared" si="3"/>
        <v>0.4830431822</v>
      </c>
      <c r="R24" s="9">
        <f>((Inputs!B21+Inputs!B22+Inputs!B23)*Scenario_Drivers!B6)*(Inputs!B24*Scenario_Drivers!C6)-(Inputs!B25*Scenario_Drivers!D6)</f>
        <v>4340.475</v>
      </c>
      <c r="S24" s="9">
        <f>R24*Inputs!B33 + Inputs!B26*Scenario_Drivers!E6*(Inputs!B30*Inputs!B31) - Inputs!B32*Scenario_Drivers!F6</f>
        <v>260433785400</v>
      </c>
      <c r="T24" s="9">
        <f>T23*(1-(Inputs!B12+Scenario_Drivers!G7))+X24</f>
        <v>2350815.421</v>
      </c>
      <c r="U24" s="9">
        <f>U23*(1-(Inputs!B13+Scenario_Drivers!H7))+X24+Inputs!B26*Scenario_Drivers!E7</f>
        <v>1339357.36</v>
      </c>
      <c r="V24" s="9">
        <f>V23*(1+(Inputs!B14+Scenario_Drivers!I7))</f>
        <v>706068.9657</v>
      </c>
      <c r="W24" s="17">
        <f t="shared" si="4"/>
        <v>0.5271699598</v>
      </c>
      <c r="X24" s="9">
        <f>((Inputs!B21+Inputs!B22+Inputs!B23)*Scenario_Drivers!B7)*(Inputs!B24*Scenario_Drivers!C7)-(Inputs!B25*Scenario_Drivers!D7)</f>
        <v>847.15</v>
      </c>
      <c r="Y24" s="9">
        <f>X24*Inputs!B33 + Inputs!B26*Scenario_Drivers!E7*(Inputs!B30*Inputs!B31) - Inputs!B32*Scenario_Drivers!F7</f>
        <v>50831640600</v>
      </c>
    </row>
    <row r="25" ht="15.75" customHeight="1">
      <c r="A25" s="14">
        <v>2046.0</v>
      </c>
      <c r="B25" s="9">
        <f>B24*(1-(Inputs!B12+Scenario_Drivers!G4))</f>
        <v>2410826.881</v>
      </c>
      <c r="C25" s="9">
        <f>C24*(1-(Inputs!B13+Scenario_Drivers!H4))</f>
        <v>1343473.954</v>
      </c>
      <c r="D25" s="9">
        <f>D24*(1+(Inputs!B14+Scenario_Drivers!I4))</f>
        <v>706921.8618</v>
      </c>
      <c r="E25" s="17">
        <f t="shared" si="1"/>
        <v>0.5261894804</v>
      </c>
      <c r="F25" s="9" t="s">
        <v>72</v>
      </c>
      <c r="G25" s="9">
        <f>F25*Inputs!B33-Inputs!B32*Scenario_Drivers!F4</f>
        <v>0</v>
      </c>
      <c r="H25" s="9">
        <f>H24*(1-(Inputs!B12+Scenario_Drivers!G5))+L25</f>
        <v>2464258.818</v>
      </c>
      <c r="I25" s="9">
        <f>I24*(1-(Inputs!B13+Scenario_Drivers!H5))+L25+Inputs!B26*Scenario_Drivers!E5</f>
        <v>1403269.015</v>
      </c>
      <c r="J25" s="9">
        <f>J24*(1+(Inputs!B14+Scenario_Drivers!I5))</f>
        <v>706921.8618</v>
      </c>
      <c r="K25" s="17">
        <f t="shared" si="2"/>
        <v>0.5037678836</v>
      </c>
      <c r="L25" s="9">
        <f>((Inputs!B21+Inputs!B22+Inputs!B23)*Scenario_Drivers!B5)*(Inputs!B24*Scenario_Drivers!C5)-(Inputs!B25*Scenario_Drivers!D5)</f>
        <v>2770</v>
      </c>
      <c r="M25" s="9">
        <f>L25*Inputs!B33 + Inputs!B26*Scenario_Drivers!E5*(Inputs!B30*Inputs!B31) - Inputs!B32*Scenario_Drivers!F5</f>
        <v>166204404000</v>
      </c>
      <c r="N25" s="9">
        <f>N24*(1-(Inputs!B12+Scenario_Drivers!G6))+R25</f>
        <v>2494552.508</v>
      </c>
      <c r="O25" s="9">
        <f>O24*(1-(Inputs!B13+Scenario_Drivers!H6))+R25+Inputs!B26*Scenario_Drivers!E6</f>
        <v>1434103.861</v>
      </c>
      <c r="P25" s="9">
        <f>P24*(1+(Inputs!B14+Scenario_Drivers!I6))</f>
        <v>706921.8618</v>
      </c>
      <c r="Q25" s="17">
        <f t="shared" si="3"/>
        <v>0.4929363076</v>
      </c>
      <c r="R25" s="9">
        <f>((Inputs!B21+Inputs!B22+Inputs!B23)*Scenario_Drivers!B6)*(Inputs!B24*Scenario_Drivers!C6)-(Inputs!B25*Scenario_Drivers!D6)</f>
        <v>4340.475</v>
      </c>
      <c r="S25" s="9">
        <f>R25*Inputs!B33 + Inputs!B26*Scenario_Drivers!E6*(Inputs!B30*Inputs!B31) - Inputs!B32*Scenario_Drivers!F6</f>
        <v>260433785400</v>
      </c>
      <c r="T25" s="9">
        <f>T24*(1-(Inputs!B12+Scenario_Drivers!G7))+X25</f>
        <v>2326754.399</v>
      </c>
      <c r="U25" s="9">
        <f>U24*(1-(Inputs!B13+Scenario_Drivers!H7))+X25+Inputs!B26*Scenario_Drivers!E7</f>
        <v>1321710.747</v>
      </c>
      <c r="V25" s="9">
        <f>V24*(1+(Inputs!B14+Scenario_Drivers!I7))</f>
        <v>714299.0589</v>
      </c>
      <c r="W25" s="17">
        <f t="shared" si="4"/>
        <v>0.5404352354</v>
      </c>
      <c r="X25" s="9">
        <f>((Inputs!B21+Inputs!B22+Inputs!B23)*Scenario_Drivers!B7)*(Inputs!B24*Scenario_Drivers!C7)-(Inputs!B25*Scenario_Drivers!D7)</f>
        <v>847.15</v>
      </c>
      <c r="Y25" s="9">
        <f>X25*Inputs!B33 + Inputs!B26*Scenario_Drivers!E7*(Inputs!B30*Inputs!B31) - Inputs!B32*Scenario_Drivers!F7</f>
        <v>50831640600</v>
      </c>
    </row>
    <row r="26" ht="15.75" customHeight="1">
      <c r="A26" s="14">
        <v>2047.0</v>
      </c>
      <c r="B26" s="9">
        <f>B25*(1-(Inputs!B12+Scenario_Drivers!G4))</f>
        <v>2390104.508</v>
      </c>
      <c r="C26" s="9">
        <f>C25*(1-(Inputs!B13+Scenario_Drivers!H4))</f>
        <v>1326667.73</v>
      </c>
      <c r="D26" s="9">
        <f>D25*(1+(Inputs!B14+Scenario_Drivers!I4))</f>
        <v>714808.4355</v>
      </c>
      <c r="E26" s="17">
        <f t="shared" si="1"/>
        <v>0.5387998963</v>
      </c>
      <c r="F26" s="9" t="s">
        <v>72</v>
      </c>
      <c r="G26" s="9">
        <f>F26*Inputs!B33-Inputs!B32*Scenario_Drivers!F4</f>
        <v>0</v>
      </c>
      <c r="H26" s="9">
        <f>H25*(1-(Inputs!B12+Scenario_Drivers!G5))+L26</f>
        <v>2445847.169</v>
      </c>
      <c r="I26" s="9">
        <f>I25*(1-(Inputs!B13+Scenario_Drivers!H5))+L26+Inputs!B26*Scenario_Drivers!E5</f>
        <v>1388934.783</v>
      </c>
      <c r="J26" s="9">
        <f>J25*(1+(Inputs!B14+Scenario_Drivers!I5))</f>
        <v>714808.4355</v>
      </c>
      <c r="K26" s="17">
        <f t="shared" si="2"/>
        <v>0.5146450677</v>
      </c>
      <c r="L26" s="9">
        <f>((Inputs!B21+Inputs!B22+Inputs!B23)*Scenario_Drivers!B5)*(Inputs!B24*Scenario_Drivers!C5)-(Inputs!B25*Scenario_Drivers!D5)</f>
        <v>2770</v>
      </c>
      <c r="M26" s="9">
        <f>L26*Inputs!B33 + Inputs!B26*Scenario_Drivers!E5*(Inputs!B30*Inputs!B31) - Inputs!B32*Scenario_Drivers!F5</f>
        <v>166204404000</v>
      </c>
      <c r="N26" s="9">
        <f>N25*(1-(Inputs!B12+Scenario_Drivers!G6))+R26</f>
        <v>2477450.943</v>
      </c>
      <c r="O26" s="9">
        <f>O25*(1-(Inputs!B13+Scenario_Drivers!H6))+R26+Inputs!B26*Scenario_Drivers!E6</f>
        <v>1421044.375</v>
      </c>
      <c r="P26" s="9">
        <f>P25*(1+(Inputs!B14+Scenario_Drivers!I6))</f>
        <v>714808.4355</v>
      </c>
      <c r="Q26" s="17">
        <f t="shared" si="3"/>
        <v>0.5030162662</v>
      </c>
      <c r="R26" s="9">
        <f>((Inputs!B21+Inputs!B22+Inputs!B23)*Scenario_Drivers!B6)*(Inputs!B24*Scenario_Drivers!C6)-(Inputs!B25*Scenario_Drivers!D6)</f>
        <v>4340.475</v>
      </c>
      <c r="S26" s="9">
        <f>R26*Inputs!B33 + Inputs!B26*Scenario_Drivers!E6*(Inputs!B30*Inputs!B31) - Inputs!B32*Scenario_Drivers!F6</f>
        <v>260433785400</v>
      </c>
      <c r="T26" s="9">
        <f>T25*(1-(Inputs!B12+Scenario_Drivers!G7))+X26</f>
        <v>2302948.316</v>
      </c>
      <c r="U26" s="9">
        <f>U25*(1-(Inputs!B13+Scenario_Drivers!H7))+X26+Inputs!B26*Scenario_Drivers!E7</f>
        <v>1304311.355</v>
      </c>
      <c r="V26" s="9">
        <f>V25*(1+(Inputs!B14+Scenario_Drivers!I7))</f>
        <v>722625.0837</v>
      </c>
      <c r="W26" s="17">
        <f t="shared" si="4"/>
        <v>0.5540280555</v>
      </c>
      <c r="X26" s="9">
        <f>((Inputs!B21+Inputs!B22+Inputs!B23)*Scenario_Drivers!B7)*(Inputs!B24*Scenario_Drivers!C7)-(Inputs!B25*Scenario_Drivers!D7)</f>
        <v>847.15</v>
      </c>
      <c r="Y26" s="9">
        <f>X26*Inputs!B33 + Inputs!B26*Scenario_Drivers!E7*(Inputs!B30*Inputs!B31) - Inputs!B32*Scenario_Drivers!F7</f>
        <v>50831640600</v>
      </c>
    </row>
    <row r="27" ht="15.75" customHeight="1">
      <c r="A27" s="14">
        <v>2048.0</v>
      </c>
      <c r="B27" s="9">
        <f>B26*(1-(Inputs!B12+Scenario_Drivers!G4))</f>
        <v>2369560.256</v>
      </c>
      <c r="C27" s="9">
        <f>C26*(1-(Inputs!B13+Scenario_Drivers!H4))</f>
        <v>1310071.745</v>
      </c>
      <c r="D27" s="9">
        <f>D26*(1+(Inputs!B14+Scenario_Drivers!I4))</f>
        <v>722782.9936</v>
      </c>
      <c r="E27" s="17">
        <f t="shared" si="1"/>
        <v>0.5517125276</v>
      </c>
      <c r="F27" s="9" t="s">
        <v>72</v>
      </c>
      <c r="G27" s="9">
        <f>F27*Inputs!B33-Inputs!B32*Scenario_Drivers!F4</f>
        <v>0</v>
      </c>
      <c r="H27" s="9">
        <f>H26*(1-(Inputs!B12+Scenario_Drivers!G5))+L27</f>
        <v>2427593.778</v>
      </c>
      <c r="I27" s="9">
        <f>I26*(1-(Inputs!B13+Scenario_Drivers!H5))+L27+Inputs!B26*Scenario_Drivers!E5</f>
        <v>1374779.866</v>
      </c>
      <c r="J27" s="9">
        <f>J26*(1+(Inputs!B14+Scenario_Drivers!I5))</f>
        <v>722782.9936</v>
      </c>
      <c r="K27" s="17">
        <f t="shared" si="2"/>
        <v>0.5257445293</v>
      </c>
      <c r="L27" s="9">
        <f>((Inputs!B21+Inputs!B22+Inputs!B23)*Scenario_Drivers!B5)*(Inputs!B24*Scenario_Drivers!C5)-(Inputs!B25*Scenario_Drivers!D5)</f>
        <v>2770</v>
      </c>
      <c r="M27" s="9">
        <f>L27*Inputs!B33 + Inputs!B26*Scenario_Drivers!E5*(Inputs!B30*Inputs!B31) - Inputs!B32*Scenario_Drivers!F5</f>
        <v>166204404000</v>
      </c>
      <c r="N27" s="9">
        <f>N26*(1-(Inputs!B12+Scenario_Drivers!G6))+R27</f>
        <v>2460496.375</v>
      </c>
      <c r="O27" s="9">
        <f>O26*(1-(Inputs!B13+Scenario_Drivers!H6))+R27+Inputs!B26*Scenario_Drivers!E6</f>
        <v>1408148.257</v>
      </c>
      <c r="P27" s="9">
        <f>P26*(1+(Inputs!B14+Scenario_Drivers!I6))</f>
        <v>722782.9936</v>
      </c>
      <c r="Q27" s="17">
        <f t="shared" si="3"/>
        <v>0.5132861473</v>
      </c>
      <c r="R27" s="9">
        <f>((Inputs!B21+Inputs!B22+Inputs!B23)*Scenario_Drivers!B6)*(Inputs!B24*Scenario_Drivers!C6)-(Inputs!B25*Scenario_Drivers!D6)</f>
        <v>4340.475</v>
      </c>
      <c r="S27" s="9">
        <f>R27*Inputs!B33 + Inputs!B26*Scenario_Drivers!E6*(Inputs!B30*Inputs!B31) - Inputs!B32*Scenario_Drivers!F6</f>
        <v>260433785400</v>
      </c>
      <c r="T27" s="9">
        <f>T26*(1-(Inputs!B12+Scenario_Drivers!G7))+X27</f>
        <v>2279394.472</v>
      </c>
      <c r="U27" s="9">
        <f>U26*(1-(Inputs!B13+Scenario_Drivers!H7))+X27+Inputs!B26*Scenario_Drivers!E7</f>
        <v>1287155.72</v>
      </c>
      <c r="V27" s="9">
        <f>V26*(1+(Inputs!B14+Scenario_Drivers!I7))</f>
        <v>731048.1586</v>
      </c>
      <c r="W27" s="17">
        <f t="shared" si="4"/>
        <v>0.5679562677</v>
      </c>
      <c r="X27" s="9">
        <f>((Inputs!B21+Inputs!B22+Inputs!B23)*Scenario_Drivers!B7)*(Inputs!B24*Scenario_Drivers!C7)-(Inputs!B25*Scenario_Drivers!D7)</f>
        <v>847.15</v>
      </c>
      <c r="Y27" s="9">
        <f>X27*Inputs!B33 + Inputs!B26*Scenario_Drivers!E7*(Inputs!B30*Inputs!B31) - Inputs!B32*Scenario_Drivers!F7</f>
        <v>50831640600</v>
      </c>
    </row>
    <row r="28" ht="15.75" customHeight="1">
      <c r="A28" s="14">
        <v>2049.0</v>
      </c>
      <c r="B28" s="9">
        <f>B27*(1-(Inputs!B12+Scenario_Drivers!G4))</f>
        <v>2349192.592</v>
      </c>
      <c r="C28" s="9">
        <f>C27*(1-(Inputs!B13+Scenario_Drivers!H4))</f>
        <v>1293683.367</v>
      </c>
      <c r="D28" s="9">
        <f>D27*(1+(Inputs!B14+Scenario_Drivers!I4))</f>
        <v>730846.5176</v>
      </c>
      <c r="E28" s="17">
        <f t="shared" si="1"/>
        <v>0.5649346171</v>
      </c>
      <c r="F28" s="9" t="s">
        <v>72</v>
      </c>
      <c r="G28" s="9">
        <f>F28*Inputs!B33-Inputs!B32*Scenario_Drivers!F4</f>
        <v>0</v>
      </c>
      <c r="H28" s="9">
        <f>H27*(1-(Inputs!B12+Scenario_Drivers!G5))+L28</f>
        <v>2409497.284</v>
      </c>
      <c r="I28" s="9">
        <f>I27*(1-(Inputs!B13+Scenario_Drivers!H5))+L28+Inputs!B26*Scenario_Drivers!E5</f>
        <v>1360802.02</v>
      </c>
      <c r="J28" s="9">
        <f>J27*(1+(Inputs!B14+Scenario_Drivers!I5))</f>
        <v>730846.5176</v>
      </c>
      <c r="K28" s="17">
        <f t="shared" si="2"/>
        <v>0.5370704236</v>
      </c>
      <c r="L28" s="9">
        <f>((Inputs!B21+Inputs!B22+Inputs!B23)*Scenario_Drivers!B5)*(Inputs!B24*Scenario_Drivers!C5)-(Inputs!B25*Scenario_Drivers!D5)</f>
        <v>2770</v>
      </c>
      <c r="M28" s="9">
        <f>L28*Inputs!B33 + Inputs!B26*Scenario_Drivers!E5*(Inputs!B30*Inputs!B31) - Inputs!B32*Scenario_Drivers!F5</f>
        <v>166204404000</v>
      </c>
      <c r="N28" s="9">
        <f>N27*(1-(Inputs!B12+Scenario_Drivers!G6))+R28</f>
        <v>2443687.541</v>
      </c>
      <c r="O28" s="9">
        <f>O27*(1-(Inputs!B13+Scenario_Drivers!H6))+R28+Inputs!B26*Scenario_Drivers!E6</f>
        <v>1395413.463</v>
      </c>
      <c r="P28" s="9">
        <f>P27*(1+(Inputs!B14+Scenario_Drivers!I6))</f>
        <v>730846.5176</v>
      </c>
      <c r="Q28" s="17">
        <f t="shared" si="3"/>
        <v>0.52374908</v>
      </c>
      <c r="R28" s="9">
        <f>((Inputs!B21+Inputs!B22+Inputs!B23)*Scenario_Drivers!B6)*(Inputs!B24*Scenario_Drivers!C6)-(Inputs!B25*Scenario_Drivers!D6)</f>
        <v>4340.475</v>
      </c>
      <c r="S28" s="9">
        <f>R28*Inputs!B33 + Inputs!B26*Scenario_Drivers!E6*(Inputs!B30*Inputs!B31) - Inputs!B32*Scenario_Drivers!F6</f>
        <v>260433785400</v>
      </c>
      <c r="T28" s="9">
        <f>T27*(1-(Inputs!B12+Scenario_Drivers!G7))+X28</f>
        <v>2256090.194</v>
      </c>
      <c r="U28" s="9">
        <f>U27*(1-(Inputs!B13+Scenario_Drivers!H7))+X28+Inputs!B26*Scenario_Drivers!E7</f>
        <v>1270240.427</v>
      </c>
      <c r="V28" s="9">
        <f>V27*(1+(Inputs!B14+Scenario_Drivers!I7))</f>
        <v>739569.4146</v>
      </c>
      <c r="W28" s="17">
        <f t="shared" si="4"/>
        <v>0.5822278986</v>
      </c>
      <c r="X28" s="9">
        <f>((Inputs!B21+Inputs!B22+Inputs!B23)*Scenario_Drivers!B7)*(Inputs!B24*Scenario_Drivers!C7)-(Inputs!B25*Scenario_Drivers!D7)</f>
        <v>847.15</v>
      </c>
      <c r="Y28" s="9">
        <f>X28*Inputs!B33 + Inputs!B26*Scenario_Drivers!E7*(Inputs!B30*Inputs!B31) - Inputs!B32*Scenario_Drivers!F7</f>
        <v>50831640600</v>
      </c>
    </row>
    <row r="29" ht="15.75" customHeight="1">
      <c r="A29" s="14">
        <v>2050.0</v>
      </c>
      <c r="B29" s="9">
        <f>B28*(1-(Inputs!B12+Scenario_Drivers!G4))</f>
        <v>2329000</v>
      </c>
      <c r="C29" s="9">
        <f>C28*(1-(Inputs!B13+Scenario_Drivers!H4))</f>
        <v>1277500</v>
      </c>
      <c r="D29" s="9">
        <f>D28*(1+(Inputs!B14+Scenario_Drivers!I4))</f>
        <v>739000</v>
      </c>
      <c r="E29" s="17">
        <f t="shared" si="1"/>
        <v>0.5784735812</v>
      </c>
      <c r="F29" s="9" t="s">
        <v>72</v>
      </c>
      <c r="G29" s="9">
        <f>F29*Inputs!B33-Inputs!B32*Scenario_Drivers!F4</f>
        <v>0</v>
      </c>
      <c r="H29" s="9">
        <f>H28*(1-(Inputs!B12+Scenario_Drivers!G5))+L29</f>
        <v>2391556.34</v>
      </c>
      <c r="I29" s="9">
        <f>I28*(1-(Inputs!B13+Scenario_Drivers!H5))+L29+Inputs!B26*Scenario_Drivers!E5</f>
        <v>1346999.031</v>
      </c>
      <c r="J29" s="9">
        <f>J28*(1+(Inputs!B14+Scenario_Drivers!I5))</f>
        <v>739000</v>
      </c>
      <c r="K29" s="17">
        <f t="shared" si="2"/>
        <v>0.5486269723</v>
      </c>
      <c r="L29" s="9">
        <f>((Inputs!B21+Inputs!B22+Inputs!B23)*Scenario_Drivers!B5)*(Inputs!B24*Scenario_Drivers!C5)-(Inputs!B25*Scenario_Drivers!D5)</f>
        <v>2770</v>
      </c>
      <c r="M29" s="9">
        <f>L29*Inputs!B33 + Inputs!B26*Scenario_Drivers!E5*(Inputs!B30*Inputs!B31) - Inputs!B32*Scenario_Drivers!F5</f>
        <v>166204404000</v>
      </c>
      <c r="N29" s="9">
        <f>N28*(1-(Inputs!B12+Scenario_Drivers!G6))+R29</f>
        <v>2427023.188</v>
      </c>
      <c r="O29" s="9">
        <f>O28*(1-(Inputs!B13+Scenario_Drivers!H6))+R29+Inputs!B26*Scenario_Drivers!E6</f>
        <v>1382837.976</v>
      </c>
      <c r="P29" s="9">
        <f>P28*(1+(Inputs!B14+Scenario_Drivers!I6))</f>
        <v>739000</v>
      </c>
      <c r="Q29" s="17">
        <f t="shared" si="3"/>
        <v>0.5344082335</v>
      </c>
      <c r="R29" s="9">
        <f>((Inputs!B21+Inputs!B22+Inputs!B23)*Scenario_Drivers!B6)*(Inputs!B24*Scenario_Drivers!C6)-(Inputs!B25*Scenario_Drivers!D6)</f>
        <v>4340.475</v>
      </c>
      <c r="S29" s="9">
        <f>R29*Inputs!B33 + Inputs!B26*Scenario_Drivers!E6*(Inputs!B30*Inputs!B31) - Inputs!B32*Scenario_Drivers!F6</f>
        <v>260433785400</v>
      </c>
      <c r="T29" s="9">
        <f>T28*(1-(Inputs!B12+Scenario_Drivers!G7))+X29</f>
        <v>2233032.837</v>
      </c>
      <c r="U29" s="9">
        <f>U28*(1-(Inputs!B13+Scenario_Drivers!H7))+X29+Inputs!B26*Scenario_Drivers!E7</f>
        <v>1253562.11</v>
      </c>
      <c r="V29" s="9">
        <f>V28*(1+(Inputs!B14+Scenario_Drivers!I7))</f>
        <v>748189.9963</v>
      </c>
      <c r="W29" s="17">
        <f t="shared" si="4"/>
        <v>0.5968511576</v>
      </c>
      <c r="X29" s="9">
        <f>((Inputs!B21+Inputs!B22+Inputs!B23)*Scenario_Drivers!B7)*(Inputs!B24*Scenario_Drivers!C7)-(Inputs!B25*Scenario_Drivers!D7)</f>
        <v>847.15</v>
      </c>
      <c r="Y29" s="9">
        <f>X29*Inputs!B33 + Inputs!B26*Scenario_Drivers!E7*(Inputs!B30*Inputs!B31) - Inputs!B32*Scenario_Drivers!F7</f>
        <v>50831640600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11" width="14.0"/>
    <col customWidth="1" min="12" max="26" width="8.71"/>
  </cols>
  <sheetData>
    <row r="1">
      <c r="A1" s="2" t="s">
        <v>73</v>
      </c>
    </row>
    <row r="3">
      <c r="A3" s="13" t="s">
        <v>74</v>
      </c>
      <c r="B3" s="13" t="s">
        <v>40</v>
      </c>
      <c r="C3" s="13" t="s">
        <v>41</v>
      </c>
      <c r="D3" s="13" t="s">
        <v>42</v>
      </c>
      <c r="E3" s="13" t="s">
        <v>43</v>
      </c>
    </row>
    <row r="4">
      <c r="A4" s="14" t="s">
        <v>75</v>
      </c>
      <c r="B4" s="9">
        <f>Model!B29</f>
        <v>2329000</v>
      </c>
      <c r="C4" s="9">
        <f>Model!H29</f>
        <v>2391556.34</v>
      </c>
      <c r="D4" s="9">
        <f>Model!N29</f>
        <v>2427023.188</v>
      </c>
      <c r="E4" s="9">
        <f>Model!T29</f>
        <v>2233032.837</v>
      </c>
    </row>
    <row r="5">
      <c r="A5" s="14" t="s">
        <v>76</v>
      </c>
      <c r="B5" s="9">
        <f>Model!C29</f>
        <v>1277500</v>
      </c>
      <c r="C5" s="9">
        <f>Model!I29</f>
        <v>1346999.031</v>
      </c>
      <c r="D5" s="9">
        <f>Model!O29</f>
        <v>1382837.976</v>
      </c>
      <c r="E5" s="9">
        <f>Model!U29</f>
        <v>1253562.11</v>
      </c>
    </row>
    <row r="6">
      <c r="A6" s="14" t="s">
        <v>77</v>
      </c>
      <c r="B6" s="9">
        <f>Model!D29</f>
        <v>739000</v>
      </c>
      <c r="C6" s="9">
        <f>Model!J29</f>
        <v>739000</v>
      </c>
      <c r="D6" s="9">
        <f>Model!P29</f>
        <v>739000</v>
      </c>
      <c r="E6" s="9">
        <f>Model!V29</f>
        <v>748189.9963</v>
      </c>
    </row>
    <row r="7">
      <c r="A7" s="14" t="s">
        <v>78</v>
      </c>
      <c r="B7" s="17">
        <f>Model!E29</f>
        <v>0.5784735812</v>
      </c>
      <c r="C7" s="17">
        <f>Model!K29</f>
        <v>0.5486269723</v>
      </c>
      <c r="D7" s="17">
        <f>Model!Q29</f>
        <v>0.5344082335</v>
      </c>
      <c r="E7" s="17">
        <f>Model!W29</f>
        <v>0.5968511576</v>
      </c>
    </row>
    <row r="8">
      <c r="A8" s="14" t="s">
        <v>79</v>
      </c>
      <c r="B8" s="9" t="str">
        <f>AVERAGE(Model!F4:F29)</f>
        <v>#DIV/0!</v>
      </c>
      <c r="C8" s="9">
        <f>AVERAGE(Model!L4:L29)</f>
        <v>2770</v>
      </c>
      <c r="D8" s="9">
        <f>AVERAGE(Model!R4:R29)</f>
        <v>4340.475</v>
      </c>
      <c r="E8" s="9">
        <f>AVERAGE(Model!X4:X29)</f>
        <v>847.15</v>
      </c>
    </row>
    <row r="11">
      <c r="A11" s="18" t="s">
        <v>80</v>
      </c>
    </row>
    <row r="12">
      <c r="A12" s="3" t="s">
        <v>81</v>
      </c>
    </row>
    <row r="13">
      <c r="G13" s="14" t="s">
        <v>47</v>
      </c>
      <c r="H13" s="14" t="s">
        <v>40</v>
      </c>
      <c r="I13" s="14" t="s">
        <v>41</v>
      </c>
      <c r="J13" s="14" t="s">
        <v>42</v>
      </c>
      <c r="K13" s="14" t="s">
        <v>43</v>
      </c>
    </row>
    <row r="14">
      <c r="G14" s="14">
        <f>Model!A4</f>
        <v>2025</v>
      </c>
      <c r="H14" s="19">
        <f>Model!B4</f>
        <v>2890000</v>
      </c>
      <c r="I14" s="19">
        <f>Model!H4</f>
        <v>2890000</v>
      </c>
      <c r="J14" s="19">
        <f>Model!N4</f>
        <v>2890000</v>
      </c>
      <c r="K14" s="19">
        <f>Model!T4</f>
        <v>2890000</v>
      </c>
    </row>
    <row r="15">
      <c r="G15" s="14">
        <f>Model!A5</f>
        <v>2026</v>
      </c>
      <c r="H15" s="19">
        <f>Model!B5</f>
        <v>2865158.873</v>
      </c>
      <c r="I15" s="19">
        <f>Model!H5</f>
        <v>2867928.873</v>
      </c>
      <c r="J15" s="19">
        <f>Model!N5</f>
        <v>2869499.348</v>
      </c>
      <c r="K15" s="19">
        <f>Model!T5</f>
        <v>2860226.023</v>
      </c>
    </row>
    <row r="16">
      <c r="G16" s="14">
        <f>Model!A6</f>
        <v>2027</v>
      </c>
      <c r="H16" s="19">
        <f>Model!B6</f>
        <v>2840531.269</v>
      </c>
      <c r="I16" s="19">
        <f>Model!H6</f>
        <v>2846047.459</v>
      </c>
      <c r="J16" s="19">
        <f>Model!N6</f>
        <v>2849174.91</v>
      </c>
      <c r="K16" s="19">
        <f>Model!T6</f>
        <v>2830767.517</v>
      </c>
    </row>
    <row r="17">
      <c r="G17" s="14">
        <f>Model!A7</f>
        <v>2028</v>
      </c>
      <c r="H17" s="19">
        <f>Model!B7</f>
        <v>2816115.353</v>
      </c>
      <c r="I17" s="19">
        <f>Model!H7</f>
        <v>2824354.128</v>
      </c>
      <c r="J17" s="19">
        <f>Model!N7</f>
        <v>2829025.172</v>
      </c>
      <c r="K17" s="19">
        <f>Model!T7</f>
        <v>2801621.141</v>
      </c>
    </row>
    <row r="18">
      <c r="G18" s="14">
        <f>Model!A8</f>
        <v>2029</v>
      </c>
      <c r="H18" s="19">
        <f>Model!B8</f>
        <v>2791909.305</v>
      </c>
      <c r="I18" s="19">
        <f>Model!H8</f>
        <v>2802847.263</v>
      </c>
      <c r="J18" s="19">
        <f>Model!N8</f>
        <v>2809048.632</v>
      </c>
      <c r="K18" s="19">
        <f>Model!T8</f>
        <v>2772783.586</v>
      </c>
    </row>
    <row r="19">
      <c r="G19" s="14">
        <f>Model!A9</f>
        <v>2030</v>
      </c>
      <c r="H19" s="19">
        <f>Model!B9</f>
        <v>2767911.321</v>
      </c>
      <c r="I19" s="19">
        <f>Model!H9</f>
        <v>2781525.262</v>
      </c>
      <c r="J19" s="19">
        <f>Model!N9</f>
        <v>2789243.801</v>
      </c>
      <c r="K19" s="19">
        <f>Model!T9</f>
        <v>2744251.581</v>
      </c>
    </row>
    <row r="20">
      <c r="G20" s="14">
        <f>Model!A10</f>
        <v>2031</v>
      </c>
      <c r="H20" s="19">
        <f>Model!B10</f>
        <v>2744119.612</v>
      </c>
      <c r="I20" s="19">
        <f>Model!H10</f>
        <v>2760386.534</v>
      </c>
      <c r="J20" s="19">
        <f>Model!N10</f>
        <v>2769609.204</v>
      </c>
      <c r="K20" s="19">
        <f>Model!T10</f>
        <v>2716021.888</v>
      </c>
    </row>
    <row r="21" ht="15.75" customHeight="1">
      <c r="G21" s="14">
        <f>Model!A11</f>
        <v>2032</v>
      </c>
      <c r="H21" s="19">
        <f>Model!B11</f>
        <v>2720532.407</v>
      </c>
      <c r="I21" s="19">
        <f>Model!H11</f>
        <v>2739429.506</v>
      </c>
      <c r="J21" s="19">
        <f>Model!N11</f>
        <v>2750143.376</v>
      </c>
      <c r="K21" s="19">
        <f>Model!T11</f>
        <v>2688091.304</v>
      </c>
    </row>
    <row r="22" ht="15.75" customHeight="1">
      <c r="G22" s="14">
        <f>Model!A12</f>
        <v>2033</v>
      </c>
      <c r="H22" s="19">
        <f>Model!B12</f>
        <v>2697147.946</v>
      </c>
      <c r="I22" s="19">
        <f>Model!H12</f>
        <v>2718652.614</v>
      </c>
      <c r="J22" s="19">
        <f>Model!N12</f>
        <v>2730844.868</v>
      </c>
      <c r="K22" s="19">
        <f>Model!T12</f>
        <v>2660456.66</v>
      </c>
    </row>
    <row r="23" ht="15.75" customHeight="1">
      <c r="G23" s="14">
        <f>Model!A13</f>
        <v>2034</v>
      </c>
      <c r="H23" s="19">
        <f>Model!B13</f>
        <v>2673964.488</v>
      </c>
      <c r="I23" s="19">
        <f>Model!H13</f>
        <v>2698054.312</v>
      </c>
      <c r="J23" s="19">
        <f>Model!N13</f>
        <v>2711712.241</v>
      </c>
      <c r="K23" s="19">
        <f>Model!T13</f>
        <v>2633114.82</v>
      </c>
    </row>
    <row r="24" ht="15.75" customHeight="1">
      <c r="G24" s="14">
        <f>Model!A14</f>
        <v>2035</v>
      </c>
      <c r="H24" s="19">
        <f>Model!B14</f>
        <v>2650980.304</v>
      </c>
      <c r="I24" s="19">
        <f>Model!H14</f>
        <v>2677633.062</v>
      </c>
      <c r="J24" s="19">
        <f>Model!N14</f>
        <v>2692744.07</v>
      </c>
      <c r="K24" s="19">
        <f>Model!T14</f>
        <v>2606062.681</v>
      </c>
    </row>
    <row r="25" ht="15.75" customHeight="1">
      <c r="G25" s="14">
        <f>Model!A15</f>
        <v>2036</v>
      </c>
      <c r="H25" s="19">
        <f>Model!B15</f>
        <v>2628193.682</v>
      </c>
      <c r="I25" s="19">
        <f>Model!H15</f>
        <v>2657387.345</v>
      </c>
      <c r="J25" s="19">
        <f>Model!N15</f>
        <v>2673938.94</v>
      </c>
      <c r="K25" s="19">
        <f>Model!T15</f>
        <v>2579297.175</v>
      </c>
    </row>
    <row r="26" ht="15.75" customHeight="1">
      <c r="G26" s="14">
        <f>Model!A16</f>
        <v>2037</v>
      </c>
      <c r="H26" s="19">
        <f>Model!B16</f>
        <v>2605602.923</v>
      </c>
      <c r="I26" s="19">
        <f>Model!H16</f>
        <v>2637315.651</v>
      </c>
      <c r="J26" s="19">
        <f>Model!N16</f>
        <v>2655295.451</v>
      </c>
      <c r="K26" s="19">
        <f>Model!T16</f>
        <v>2552815.264</v>
      </c>
    </row>
    <row r="27" ht="15.75" customHeight="1">
      <c r="G27" s="14">
        <f>Model!A17</f>
        <v>2038</v>
      </c>
      <c r="H27" s="19">
        <f>Model!B17</f>
        <v>2583206.344</v>
      </c>
      <c r="I27" s="19">
        <f>Model!H17</f>
        <v>2617416.484</v>
      </c>
      <c r="J27" s="19">
        <f>Model!N17</f>
        <v>2636812.213</v>
      </c>
      <c r="K27" s="19">
        <f>Model!T17</f>
        <v>2526613.943</v>
      </c>
    </row>
    <row r="28" ht="15.75" customHeight="1">
      <c r="G28" s="14">
        <f>Model!A18</f>
        <v>2039</v>
      </c>
      <c r="H28" s="19">
        <f>Model!B18</f>
        <v>2561002.276</v>
      </c>
      <c r="I28" s="19">
        <f>Model!H18</f>
        <v>2597688.361</v>
      </c>
      <c r="J28" s="19">
        <f>Model!N18</f>
        <v>2618487.848</v>
      </c>
      <c r="K28" s="19">
        <f>Model!T18</f>
        <v>2500690.24</v>
      </c>
    </row>
    <row r="29" ht="15.75" customHeight="1">
      <c r="G29" s="14">
        <f>Model!A19</f>
        <v>2040</v>
      </c>
      <c r="H29" s="19">
        <f>Model!B19</f>
        <v>2538989.064</v>
      </c>
      <c r="I29" s="19">
        <f>Model!H19</f>
        <v>2578129.812</v>
      </c>
      <c r="J29" s="19">
        <f>Model!N19</f>
        <v>2600320.991</v>
      </c>
      <c r="K29" s="19">
        <f>Model!T19</f>
        <v>2475041.212</v>
      </c>
    </row>
    <row r="30" ht="15.75" customHeight="1">
      <c r="G30" s="14">
        <f>Model!A20</f>
        <v>2041</v>
      </c>
      <c r="H30" s="19">
        <f>Model!B20</f>
        <v>2517165.067</v>
      </c>
      <c r="I30" s="19">
        <f>Model!H20</f>
        <v>2558739.379</v>
      </c>
      <c r="J30" s="19">
        <f>Model!N20</f>
        <v>2582310.288</v>
      </c>
      <c r="K30" s="19">
        <f>Model!T20</f>
        <v>2449663.95</v>
      </c>
    </row>
    <row r="31" ht="15.75" customHeight="1">
      <c r="G31" s="14">
        <f>Model!A21</f>
        <v>2042</v>
      </c>
      <c r="H31" s="19">
        <f>Model!B21</f>
        <v>2495528.66</v>
      </c>
      <c r="I31" s="19">
        <f>Model!H21</f>
        <v>2539515.618</v>
      </c>
      <c r="J31" s="19">
        <f>Model!N21</f>
        <v>2564454.397</v>
      </c>
      <c r="K31" s="19">
        <f>Model!T21</f>
        <v>2424555.574</v>
      </c>
    </row>
    <row r="32" ht="15.75" customHeight="1">
      <c r="G32" s="14">
        <f>Model!A22</f>
        <v>2043</v>
      </c>
      <c r="H32" s="19">
        <f>Model!B22</f>
        <v>2474078.229</v>
      </c>
      <c r="I32" s="19">
        <f>Model!H22</f>
        <v>2520457.095</v>
      </c>
      <c r="J32" s="19">
        <f>Model!N22</f>
        <v>2546751.987</v>
      </c>
      <c r="K32" s="19">
        <f>Model!T22</f>
        <v>2399713.234</v>
      </c>
    </row>
    <row r="33" ht="15.75" customHeight="1">
      <c r="G33" s="14">
        <f>Model!A23</f>
        <v>2044</v>
      </c>
      <c r="H33" s="19">
        <f>Model!B23</f>
        <v>2452812.177</v>
      </c>
      <c r="I33" s="19">
        <f>Model!H23</f>
        <v>2501562.391</v>
      </c>
      <c r="J33" s="19">
        <f>Model!N23</f>
        <v>2529201.739</v>
      </c>
      <c r="K33" s="19">
        <f>Model!T23</f>
        <v>2375134.113</v>
      </c>
    </row>
    <row r="34" ht="15.75" customHeight="1">
      <c r="G34" s="14">
        <f>Model!A24</f>
        <v>2045</v>
      </c>
      <c r="H34" s="19">
        <f>Model!B24</f>
        <v>2431728.918</v>
      </c>
      <c r="I34" s="19">
        <f>Model!H24</f>
        <v>2482830.098</v>
      </c>
      <c r="J34" s="19">
        <f>Model!N24</f>
        <v>2511802.345</v>
      </c>
      <c r="K34" s="19">
        <f>Model!T24</f>
        <v>2350815.421</v>
      </c>
    </row>
    <row r="35" ht="15.75" customHeight="1">
      <c r="G35" s="14">
        <f>Model!A25</f>
        <v>2046</v>
      </c>
      <c r="H35" s="19">
        <f>Model!B25</f>
        <v>2410826.881</v>
      </c>
      <c r="I35" s="19">
        <f>Model!H25</f>
        <v>2464258.818</v>
      </c>
      <c r="J35" s="19">
        <f>Model!N25</f>
        <v>2494552.508</v>
      </c>
      <c r="K35" s="19">
        <f>Model!T25</f>
        <v>2326754.399</v>
      </c>
    </row>
    <row r="36" ht="15.75" customHeight="1">
      <c r="G36" s="14">
        <f>Model!A26</f>
        <v>2047</v>
      </c>
      <c r="H36" s="19">
        <f>Model!B26</f>
        <v>2390104.508</v>
      </c>
      <c r="I36" s="19">
        <f>Model!H26</f>
        <v>2445847.169</v>
      </c>
      <c r="J36" s="19">
        <f>Model!N26</f>
        <v>2477450.943</v>
      </c>
      <c r="K36" s="19">
        <f>Model!T26</f>
        <v>2302948.316</v>
      </c>
    </row>
    <row r="37" ht="15.75" customHeight="1">
      <c r="G37" s="14">
        <f>Model!A27</f>
        <v>2048</v>
      </c>
      <c r="H37" s="19">
        <f>Model!B27</f>
        <v>2369560.256</v>
      </c>
      <c r="I37" s="19">
        <f>Model!H27</f>
        <v>2427593.778</v>
      </c>
      <c r="J37" s="19">
        <f>Model!N27</f>
        <v>2460496.375</v>
      </c>
      <c r="K37" s="19">
        <f>Model!T27</f>
        <v>2279394.472</v>
      </c>
    </row>
    <row r="38" ht="15.75" customHeight="1">
      <c r="G38" s="14">
        <f>Model!A28</f>
        <v>2049</v>
      </c>
      <c r="H38" s="19">
        <f>Model!B28</f>
        <v>2349192.592</v>
      </c>
      <c r="I38" s="19">
        <f>Model!H28</f>
        <v>2409497.284</v>
      </c>
      <c r="J38" s="19">
        <f>Model!N28</f>
        <v>2443687.541</v>
      </c>
      <c r="K38" s="19">
        <f>Model!T28</f>
        <v>2256090.194</v>
      </c>
    </row>
    <row r="39" ht="15.75" customHeight="1">
      <c r="G39" s="14">
        <f>Model!A29</f>
        <v>2050</v>
      </c>
      <c r="H39" s="19">
        <f>Model!B29</f>
        <v>2329000</v>
      </c>
      <c r="I39" s="19">
        <f>Model!H29</f>
        <v>2391556.34</v>
      </c>
      <c r="J39" s="19">
        <f>Model!N29</f>
        <v>2427023.188</v>
      </c>
      <c r="K39" s="19">
        <f>Model!T29</f>
        <v>2233032.837</v>
      </c>
    </row>
    <row r="40" ht="15.75" customHeight="1"/>
    <row r="41" ht="15.75" customHeight="1"/>
    <row r="42" ht="15.75" customHeight="1"/>
    <row r="43" ht="15.75" customHeight="1">
      <c r="G43" s="14" t="s">
        <v>31</v>
      </c>
      <c r="H43" s="14" t="s">
        <v>82</v>
      </c>
    </row>
    <row r="44" ht="15.75" customHeight="1">
      <c r="G44" s="14" t="s">
        <v>40</v>
      </c>
      <c r="H44" s="17">
        <f>Model!E29</f>
        <v>0.5784735812</v>
      </c>
    </row>
    <row r="45" ht="15.75" customHeight="1">
      <c r="G45" s="14" t="s">
        <v>41</v>
      </c>
      <c r="H45" s="17">
        <f>Model!K29</f>
        <v>0.5486269723</v>
      </c>
    </row>
    <row r="46" ht="15.75" customHeight="1">
      <c r="G46" s="14" t="s">
        <v>42</v>
      </c>
      <c r="H46" s="17">
        <f>Model!Q29</f>
        <v>0.5344082335</v>
      </c>
    </row>
    <row r="47" ht="15.75" customHeight="1">
      <c r="G47" s="14" t="s">
        <v>43</v>
      </c>
      <c r="H47" s="17">
        <f>Model!W29</f>
        <v>0.5968511576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2:E12"/>
  </mergeCells>
  <printOptions/>
  <pageMargins bottom="1.0" footer="0.0" header="0.0" left="0.75" right="0.75" top="1.0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>
      <c r="A1" s="2" t="s">
        <v>83</v>
      </c>
    </row>
    <row r="3">
      <c r="A3" s="3" t="s">
        <v>84</v>
      </c>
    </row>
    <row r="4">
      <c r="A4" s="3" t="s">
        <v>85</v>
      </c>
    </row>
    <row r="5">
      <c r="A5" s="3" t="s">
        <v>86</v>
      </c>
    </row>
    <row r="6">
      <c r="A6" s="3" t="s">
        <v>87</v>
      </c>
    </row>
    <row r="7">
      <c r="A7" s="3" t="s">
        <v>88</v>
      </c>
    </row>
    <row r="8">
      <c r="A8" s="3" t="s">
        <v>89</v>
      </c>
    </row>
    <row r="9">
      <c r="A9" s="3" t="s">
        <v>90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2026-03-22T03:00:22Z</dcterms:created>
  <dc:creator>openpyxl</dc:creator>
</cp:coreProperties>
</file>